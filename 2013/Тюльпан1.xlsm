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hidePivotFieldList="1" defaultThemeVersion="124226"/>
  <bookViews>
    <workbookView xWindow="0" yWindow="120" windowWidth="18915" windowHeight="11160" tabRatio="825" firstSheet="2" activeTab="2"/>
  </bookViews>
  <sheets>
    <sheet name="Программист_t" sheetId="19" state="hidden" r:id="rId1"/>
    <sheet name="Лист1 (2)" sheetId="4" state="hidden" r:id="rId2"/>
    <sheet name="Исходные данные" sheetId="1" r:id="rId3"/>
    <sheet name="Сопр_лист_t" sheetId="13" state="hidden" r:id="rId4"/>
    <sheet name="Компл_t" sheetId="44" state="hidden" r:id="rId5"/>
    <sheet name="Труматик_t" sheetId="20" state="hidden" r:id="rId6"/>
    <sheet name="Задание на гибку_t" sheetId="43" state="hidden" r:id="rId7"/>
  </sheets>
  <definedNames>
    <definedName name="_xlnm._FilterDatabase" localSheetId="2" hidden="1">'Исходные данные'!$N$27:$N$34</definedName>
    <definedName name="a">'Исходные данные'!$A$1</definedName>
    <definedName name="_xlnm.Print_Area" localSheetId="6">'Задание на гибку_t'!$A$1:$K$25</definedName>
    <definedName name="_xlnm.Print_Area" localSheetId="2">'Исходные данные'!$K$24:$X$42</definedName>
  </definedNames>
  <calcPr calcId="124519"/>
</workbook>
</file>

<file path=xl/calcChain.xml><?xml version="1.0" encoding="utf-8"?>
<calcChain xmlns="http://schemas.openxmlformats.org/spreadsheetml/2006/main">
  <c r="CX45" i="4"/>
  <c r="CX44"/>
  <c r="CX43"/>
  <c r="CX42"/>
  <c r="CX41"/>
  <c r="CX40"/>
  <c r="CX39"/>
  <c r="CX38"/>
  <c r="CX37"/>
  <c r="CX36"/>
  <c r="CX35"/>
  <c r="CX34"/>
  <c r="CX33"/>
  <c r="CX32"/>
  <c r="CX31"/>
  <c r="CX30"/>
  <c r="CX29"/>
  <c r="CX28"/>
  <c r="CX27"/>
  <c r="CX26"/>
  <c r="AO89"/>
  <c r="Q42"/>
  <c r="CQ27"/>
  <c r="CR27"/>
  <c r="CQ28"/>
  <c r="CR28"/>
  <c r="CQ29"/>
  <c r="CR29"/>
  <c r="CQ30"/>
  <c r="CR30"/>
  <c r="CQ31"/>
  <c r="CR31"/>
  <c r="CQ32"/>
  <c r="CR32"/>
  <c r="CQ33"/>
  <c r="CR33"/>
  <c r="CQ34"/>
  <c r="CR34"/>
  <c r="CQ35"/>
  <c r="CR35"/>
  <c r="CQ36"/>
  <c r="CR36"/>
  <c r="CQ37"/>
  <c r="CR37"/>
  <c r="CQ38"/>
  <c r="CR38"/>
  <c r="CQ39"/>
  <c r="CR39"/>
  <c r="CQ40"/>
  <c r="CR40"/>
  <c r="CQ41"/>
  <c r="CR41"/>
  <c r="CQ42"/>
  <c r="CR42"/>
  <c r="CQ43"/>
  <c r="CR43"/>
  <c r="CQ44"/>
  <c r="CR44"/>
  <c r="CQ45"/>
  <c r="CR45"/>
  <c r="CV45"/>
  <c r="CV44"/>
  <c r="DD43"/>
  <c r="DB43"/>
  <c r="CZ43"/>
  <c r="CV43"/>
  <c r="CV42"/>
  <c r="CV41"/>
  <c r="CV40"/>
  <c r="CV39"/>
  <c r="CV38"/>
  <c r="CV37"/>
  <c r="CV36"/>
  <c r="DD35"/>
  <c r="DB35"/>
  <c r="CZ35"/>
  <c r="CV35"/>
  <c r="CV34"/>
  <c r="CV33"/>
  <c r="CV32"/>
  <c r="CV31"/>
  <c r="CV30"/>
  <c r="CV29"/>
  <c r="CV28"/>
  <c r="CV27"/>
  <c r="CV26"/>
  <c r="CR26"/>
  <c r="CQ26"/>
  <c r="C2" i="44"/>
  <c r="AN138" i="4"/>
  <c r="AT71"/>
  <c r="P2"/>
  <c r="Q65" s="1"/>
  <c r="Q66" s="1"/>
  <c r="AK120" s="1"/>
  <c r="N2"/>
  <c r="T69" s="1"/>
  <c r="AM126" s="1"/>
  <c r="AT126"/>
  <c r="AK71"/>
  <c r="AT120"/>
  <c r="AT114"/>
  <c r="AT59"/>
  <c r="AT53"/>
  <c r="AU35"/>
  <c r="AS35"/>
  <c r="AT29"/>
  <c r="AS29"/>
  <c r="CF46"/>
  <c r="CF45"/>
  <c r="BU46"/>
  <c r="BU45"/>
  <c r="CF35"/>
  <c r="BU35"/>
  <c r="BE46"/>
  <c r="BE45"/>
  <c r="BE35"/>
  <c r="H18" i="43"/>
  <c r="M8"/>
  <c r="E16" s="1"/>
  <c r="J8"/>
  <c r="J1" i="13"/>
  <c r="CA44" i="4"/>
  <c r="BY44"/>
  <c r="BW44"/>
  <c r="BU44"/>
  <c r="BU43"/>
  <c r="BU42"/>
  <c r="BU41"/>
  <c r="BU40"/>
  <c r="BU39"/>
  <c r="BU38"/>
  <c r="BU37"/>
  <c r="CA36"/>
  <c r="BY36"/>
  <c r="BW36"/>
  <c r="BU36"/>
  <c r="BU34"/>
  <c r="BU33"/>
  <c r="BU32"/>
  <c r="BU31"/>
  <c r="BU30"/>
  <c r="BU29"/>
  <c r="BU28"/>
  <c r="BU27"/>
  <c r="CF44"/>
  <c r="CF43"/>
  <c r="CF42"/>
  <c r="CF41"/>
  <c r="CF40"/>
  <c r="CF39"/>
  <c r="CF38"/>
  <c r="CF37"/>
  <c r="CF36"/>
  <c r="CF34"/>
  <c r="CF33"/>
  <c r="CF32"/>
  <c r="CF31"/>
  <c r="CF30"/>
  <c r="CF29"/>
  <c r="CF28"/>
  <c r="CF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Q27"/>
  <c r="BP27"/>
  <c r="G3" i="43"/>
  <c r="Y21" i="20"/>
  <c r="BM44" i="4"/>
  <c r="BK44"/>
  <c r="BI44"/>
  <c r="BE44"/>
  <c r="BE39"/>
  <c r="BE40"/>
  <c r="BE41"/>
  <c r="BE42"/>
  <c r="BE43"/>
  <c r="BE38"/>
  <c r="BE37"/>
  <c r="BM36"/>
  <c r="BK36"/>
  <c r="BI36"/>
  <c r="BE36"/>
  <c r="BE32"/>
  <c r="BE33"/>
  <c r="BE34"/>
  <c r="BE31"/>
  <c r="BE30"/>
  <c r="BE29"/>
  <c r="BE28"/>
  <c r="BE27"/>
  <c r="G3" i="20"/>
  <c r="AC3" i="19"/>
  <c r="AG138" i="4"/>
  <c r="AF138"/>
  <c r="AE138"/>
  <c r="T70"/>
  <c r="AN126" s="1"/>
  <c r="AG132"/>
  <c r="AF132"/>
  <c r="AE132"/>
  <c r="AZ71"/>
  <c r="AX71"/>
  <c r="AV71"/>
  <c r="AX126"/>
  <c r="AV126"/>
  <c r="AZ126"/>
  <c r="AG126"/>
  <c r="AF126"/>
  <c r="AE126"/>
  <c r="AG120"/>
  <c r="AF120"/>
  <c r="AE120"/>
  <c r="AO114"/>
  <c r="AS114"/>
  <c r="AR114"/>
  <c r="AG114"/>
  <c r="AF114"/>
  <c r="AE114"/>
  <c r="AE108"/>
  <c r="AG108"/>
  <c r="AF108"/>
  <c r="Q57"/>
  <c r="Q60" s="1"/>
  <c r="AO108" s="1"/>
  <c r="AG101"/>
  <c r="AF101"/>
  <c r="AE101"/>
  <c r="AG95"/>
  <c r="AF95"/>
  <c r="AE95"/>
  <c r="AO71"/>
  <c r="AN71"/>
  <c r="AM71"/>
  <c r="AF89"/>
  <c r="AF83"/>
  <c r="AF71"/>
  <c r="AF65"/>
  <c r="AF59"/>
  <c r="AF53"/>
  <c r="AF47"/>
  <c r="AF41"/>
  <c r="AF35"/>
  <c r="AE89"/>
  <c r="AE83"/>
  <c r="AE71"/>
  <c r="AE65"/>
  <c r="AE59"/>
  <c r="AE53"/>
  <c r="AE47"/>
  <c r="AE41"/>
  <c r="AE35"/>
  <c r="AF29"/>
  <c r="AE29"/>
  <c r="AG89"/>
  <c r="AG83"/>
  <c r="AG71"/>
  <c r="AG65"/>
  <c r="AG59"/>
  <c r="AG53"/>
  <c r="AG47"/>
  <c r="AG41"/>
  <c r="AG35"/>
  <c r="AG29"/>
  <c r="F2"/>
  <c r="E58" s="1"/>
  <c r="AO47" s="1"/>
  <c r="B2"/>
  <c r="F15" s="1"/>
  <c r="AE2"/>
  <c r="AS126" s="1"/>
  <c r="CH44" s="1"/>
  <c r="Z2"/>
  <c r="R2" s="1"/>
  <c r="AS53"/>
  <c r="AR53"/>
  <c r="AO53"/>
  <c r="Q58"/>
  <c r="Q61"/>
  <c r="P48"/>
  <c r="AT89" s="1"/>
  <c r="V36"/>
  <c r="AR83" s="1"/>
  <c r="U20"/>
  <c r="R15"/>
  <c r="T72" s="1"/>
  <c r="T71" s="1"/>
  <c r="AR126" s="1"/>
  <c r="D44"/>
  <c r="J34"/>
  <c r="K5" i="1"/>
  <c r="I29"/>
  <c r="I35"/>
  <c r="C41" s="1"/>
  <c r="J5"/>
  <c r="H8" s="1"/>
  <c r="I8" s="1"/>
  <c r="J6"/>
  <c r="H9" s="1"/>
  <c r="I9" s="1"/>
  <c r="J7"/>
  <c r="H10" s="1"/>
  <c r="I10" s="1"/>
  <c r="I50"/>
  <c r="E53"/>
  <c r="I55" s="1"/>
  <c r="E56"/>
  <c r="I58" s="1"/>
  <c r="E59"/>
  <c r="H42"/>
  <c r="E43"/>
  <c r="I37"/>
  <c r="I51" s="1"/>
  <c r="F16"/>
  <c r="I39" s="1"/>
  <c r="I20"/>
  <c r="H43"/>
  <c r="F15"/>
  <c r="I31" s="1"/>
  <c r="D40"/>
  <c r="I38"/>
  <c r="E58" s="1"/>
  <c r="E61" s="1"/>
  <c r="E42"/>
  <c r="D46" s="1"/>
  <c r="E57"/>
  <c r="E60" s="1"/>
  <c r="H45"/>
  <c r="I30"/>
  <c r="H44"/>
  <c r="U31" i="4" l="1"/>
  <c r="U37" s="1"/>
  <c r="U43"/>
  <c r="AN83"/>
  <c r="V6"/>
  <c r="T9" s="1"/>
  <c r="U9" s="1"/>
  <c r="V5"/>
  <c r="T8" s="1"/>
  <c r="U8" s="1"/>
  <c r="V7"/>
  <c r="T10" s="1"/>
  <c r="U10" s="1"/>
  <c r="U44"/>
  <c r="Q70" s="1"/>
  <c r="AK126" s="1"/>
  <c r="Q56"/>
  <c r="AK101" s="1"/>
  <c r="U35"/>
  <c r="AP83" s="1"/>
  <c r="R16"/>
  <c r="U48" s="1"/>
  <c r="Q62"/>
  <c r="AK114" s="1"/>
  <c r="U58"/>
  <c r="U33"/>
  <c r="U46"/>
  <c r="U53"/>
  <c r="AO95" s="1"/>
  <c r="AP95" s="1"/>
  <c r="M1" i="43"/>
  <c r="AE23" i="4"/>
  <c r="CW26" s="1"/>
  <c r="AE77"/>
  <c r="AK89"/>
  <c r="AK138"/>
  <c r="AQ41"/>
  <c r="J7"/>
  <c r="H10" s="1"/>
  <c r="I10" s="1"/>
  <c r="BG44"/>
  <c r="AO101"/>
  <c r="F16"/>
  <c r="I43" s="1"/>
  <c r="I40" s="1"/>
  <c r="I29"/>
  <c r="AN29" s="1"/>
  <c r="AQ101"/>
  <c r="J5"/>
  <c r="H8" s="1"/>
  <c r="I8" s="1"/>
  <c r="AK65"/>
  <c r="H46"/>
  <c r="E60"/>
  <c r="I62" s="1"/>
  <c r="AQ108"/>
  <c r="H47"/>
  <c r="I36" i="1"/>
  <c r="E44" s="1"/>
  <c r="E45"/>
  <c r="E57" i="4"/>
  <c r="I59" s="1"/>
  <c r="AS71"/>
  <c r="AU89"/>
  <c r="I41"/>
  <c r="E61" s="1"/>
  <c r="E64" s="1"/>
  <c r="AS83"/>
  <c r="AS59"/>
  <c r="AU29"/>
  <c r="E63"/>
  <c r="E47"/>
  <c r="AV35"/>
  <c r="AV41"/>
  <c r="I39"/>
  <c r="AK35" s="1"/>
  <c r="I20"/>
  <c r="AQ53"/>
  <c r="I54"/>
  <c r="AO41" s="1"/>
  <c r="AS120"/>
  <c r="AR95"/>
  <c r="AQ114"/>
  <c r="I11" i="1"/>
  <c r="J6" i="4"/>
  <c r="H9" s="1"/>
  <c r="I9" s="1"/>
  <c r="AQ47"/>
  <c r="I32"/>
  <c r="I30"/>
  <c r="I31"/>
  <c r="H49"/>
  <c r="U57"/>
  <c r="AT101" s="1"/>
  <c r="V75"/>
  <c r="N34"/>
  <c r="Q34"/>
  <c r="V76"/>
  <c r="U11" l="1"/>
  <c r="S12" s="1"/>
  <c r="Q59"/>
  <c r="U61" s="1"/>
  <c r="AQ89"/>
  <c r="U45"/>
  <c r="AM89" s="1"/>
  <c r="Q69"/>
  <c r="O49"/>
  <c r="U64"/>
  <c r="Q72"/>
  <c r="Q71" s="1"/>
  <c r="AQ126" s="1"/>
  <c r="CW30"/>
  <c r="AO83"/>
  <c r="U34"/>
  <c r="AQ83" s="1"/>
  <c r="AN89"/>
  <c r="U47"/>
  <c r="Q63"/>
  <c r="AM114" s="1"/>
  <c r="CW45"/>
  <c r="CW42"/>
  <c r="CW36"/>
  <c r="CW43"/>
  <c r="CW41"/>
  <c r="CW39"/>
  <c r="CW37"/>
  <c r="CW35"/>
  <c r="CW27"/>
  <c r="CW33"/>
  <c r="CW32"/>
  <c r="CG31"/>
  <c r="BV31"/>
  <c r="BV34"/>
  <c r="BF28"/>
  <c r="BV27"/>
  <c r="CG28"/>
  <c r="CG34"/>
  <c r="CG44"/>
  <c r="CK44" s="1"/>
  <c r="CG42"/>
  <c r="CG40"/>
  <c r="CN40" s="1"/>
  <c r="CG38"/>
  <c r="BV44"/>
  <c r="BV42"/>
  <c r="BV40"/>
  <c r="BV38"/>
  <c r="CG43"/>
  <c r="CG37"/>
  <c r="BV43"/>
  <c r="BV37"/>
  <c r="BV36"/>
  <c r="BV28"/>
  <c r="BV33"/>
  <c r="BF27"/>
  <c r="CG33"/>
  <c r="CG27"/>
  <c r="CG36"/>
  <c r="CK36" s="1"/>
  <c r="AK47"/>
  <c r="CH46"/>
  <c r="BG46"/>
  <c r="BG43"/>
  <c r="CH43"/>
  <c r="CH33"/>
  <c r="BG33"/>
  <c r="BG28"/>
  <c r="CH28"/>
  <c r="CH34"/>
  <c r="BG34"/>
  <c r="CH36"/>
  <c r="BG36"/>
  <c r="BF31"/>
  <c r="CH45"/>
  <c r="BG45"/>
  <c r="BF43"/>
  <c r="BF37"/>
  <c r="BF44"/>
  <c r="BF42"/>
  <c r="BF38"/>
  <c r="BF34"/>
  <c r="BF33"/>
  <c r="CH32"/>
  <c r="BG32"/>
  <c r="CH42"/>
  <c r="BG42"/>
  <c r="BG39"/>
  <c r="CH39"/>
  <c r="CH31"/>
  <c r="CH29"/>
  <c r="CH30"/>
  <c r="CH27"/>
  <c r="BG27"/>
  <c r="BG37"/>
  <c r="CH37"/>
  <c r="CH38"/>
  <c r="BG38"/>
  <c r="BG41"/>
  <c r="CH41"/>
  <c r="CH35"/>
  <c r="BG35"/>
  <c r="CH40"/>
  <c r="BG40"/>
  <c r="BF36"/>
  <c r="BG30"/>
  <c r="BG29"/>
  <c r="BG31"/>
  <c r="AD29"/>
  <c r="AD83"/>
  <c r="AD120"/>
  <c r="AD89"/>
  <c r="AD126"/>
  <c r="AD114"/>
  <c r="E49"/>
  <c r="AP35"/>
  <c r="I11"/>
  <c r="G12" s="1"/>
  <c r="AD71"/>
  <c r="AK53"/>
  <c r="AD35"/>
  <c r="AD59"/>
  <c r="AD53"/>
  <c r="H48"/>
  <c r="AN35"/>
  <c r="AK59"/>
  <c r="E46"/>
  <c r="D50" s="1"/>
  <c r="AM53"/>
  <c r="AM59"/>
  <c r="I42"/>
  <c r="E62" s="1"/>
  <c r="I55"/>
  <c r="C45"/>
  <c r="G12" i="1"/>
  <c r="G13"/>
  <c r="AP71" i="4"/>
  <c r="AP126"/>
  <c r="AQ29"/>
  <c r="AQ71"/>
  <c r="AO126"/>
  <c r="AP29"/>
  <c r="AO29"/>
  <c r="AD101"/>
  <c r="E48"/>
  <c r="AM35"/>
  <c r="S13" l="1"/>
  <c r="R51" s="1"/>
  <c r="Q67"/>
  <c r="AM120" s="1"/>
  <c r="AK108"/>
  <c r="AL126"/>
  <c r="P73"/>
  <c r="AP89"/>
  <c r="Q64"/>
  <c r="AN114" s="1"/>
  <c r="CK27"/>
  <c r="CN27"/>
  <c r="CK37"/>
  <c r="CN37"/>
  <c r="CK38"/>
  <c r="CN38"/>
  <c r="CK42"/>
  <c r="CN42"/>
  <c r="CK34"/>
  <c r="CN34"/>
  <c r="CK31"/>
  <c r="CN31"/>
  <c r="CK33"/>
  <c r="CN33"/>
  <c r="CK43"/>
  <c r="CN43"/>
  <c r="CK28"/>
  <c r="CN28"/>
  <c r="BF40"/>
  <c r="R55"/>
  <c r="AQ95" s="1"/>
  <c r="CW38" s="1"/>
  <c r="V83"/>
  <c r="V79"/>
  <c r="U28"/>
  <c r="V77"/>
  <c r="V78" s="1"/>
  <c r="V82"/>
  <c r="S74"/>
  <c r="U60"/>
  <c r="AT108" s="1"/>
  <c r="CW40" s="1"/>
  <c r="CK40"/>
  <c r="G13"/>
  <c r="F52" s="1"/>
  <c r="AK41" s="1"/>
  <c r="J69"/>
  <c r="J70" s="1"/>
  <c r="I26"/>
  <c r="AK29" s="1"/>
  <c r="J74"/>
  <c r="F56"/>
  <c r="AT47" s="1"/>
  <c r="CW31" s="1"/>
  <c r="J75"/>
  <c r="G68"/>
  <c r="AN65" s="1"/>
  <c r="CW34" s="1"/>
  <c r="J71"/>
  <c r="J72" s="1"/>
  <c r="AO35"/>
  <c r="AP41"/>
  <c r="E65"/>
  <c r="AN53"/>
  <c r="I59" i="1"/>
  <c r="I60" s="1"/>
  <c r="E62" s="1"/>
  <c r="J65"/>
  <c r="J66" s="1"/>
  <c r="J70"/>
  <c r="J67"/>
  <c r="G64"/>
  <c r="I26"/>
  <c r="J71"/>
  <c r="F52"/>
  <c r="F48"/>
  <c r="I27"/>
  <c r="AR71" i="4"/>
  <c r="U29" l="1"/>
  <c r="AL83" s="1"/>
  <c r="U66"/>
  <c r="U68" s="1"/>
  <c r="U65"/>
  <c r="AO120" s="1"/>
  <c r="AN132"/>
  <c r="CW44" s="1"/>
  <c r="CG39"/>
  <c r="CN39" s="1"/>
  <c r="BV39"/>
  <c r="AU41"/>
  <c r="AT41"/>
  <c r="BV41"/>
  <c r="CG41"/>
  <c r="CK41" s="1"/>
  <c r="F53"/>
  <c r="AL41" s="1"/>
  <c r="I63"/>
  <c r="AO59" s="1"/>
  <c r="V81"/>
  <c r="V80"/>
  <c r="AD95"/>
  <c r="BF39"/>
  <c r="AK95"/>
  <c r="R52"/>
  <c r="AL95" s="1"/>
  <c r="R53"/>
  <c r="AM95" s="1"/>
  <c r="R54"/>
  <c r="BF41"/>
  <c r="AD108"/>
  <c r="AK83"/>
  <c r="F54"/>
  <c r="AM41" s="1"/>
  <c r="F55"/>
  <c r="B56" s="1"/>
  <c r="I27"/>
  <c r="AL29" s="1"/>
  <c r="I58"/>
  <c r="I33"/>
  <c r="AR29" s="1"/>
  <c r="J73"/>
  <c r="AN59"/>
  <c r="F50" i="1"/>
  <c r="F51"/>
  <c r="B52" s="1"/>
  <c r="F49"/>
  <c r="I54"/>
  <c r="I28"/>
  <c r="J69"/>
  <c r="J68"/>
  <c r="AQ120" i="4" l="1"/>
  <c r="CK39"/>
  <c r="U30"/>
  <c r="AM83" s="1"/>
  <c r="BF30"/>
  <c r="CW29"/>
  <c r="BV29"/>
  <c r="CW28"/>
  <c r="CG46"/>
  <c r="CN46" s="1"/>
  <c r="BV46"/>
  <c r="CG45"/>
  <c r="CN45" s="1"/>
  <c r="BV45"/>
  <c r="CG29"/>
  <c r="I28"/>
  <c r="AM29" s="1"/>
  <c r="BV30"/>
  <c r="CG30"/>
  <c r="CG32"/>
  <c r="BV32"/>
  <c r="CG35"/>
  <c r="CN35" s="1"/>
  <c r="BV35"/>
  <c r="I64"/>
  <c r="E66" s="1"/>
  <c r="A2" s="1"/>
  <c r="BF35"/>
  <c r="CK35"/>
  <c r="BF32"/>
  <c r="BF29"/>
  <c r="BF45"/>
  <c r="CK45"/>
  <c r="AD132"/>
  <c r="AN95"/>
  <c r="N55"/>
  <c r="M2" s="1"/>
  <c r="BF46"/>
  <c r="AD138"/>
  <c r="CK46"/>
  <c r="AD65"/>
  <c r="AD47"/>
  <c r="AD41"/>
  <c r="AN41"/>
  <c r="A2" i="1"/>
  <c r="CK32" i="4" l="1"/>
  <c r="CN32"/>
  <c r="CK29"/>
  <c r="CN29"/>
  <c r="CK30"/>
  <c r="CN30"/>
  <c r="AP59"/>
</calcChain>
</file>

<file path=xl/sharedStrings.xml><?xml version="1.0" encoding="utf-8"?>
<sst xmlns="http://schemas.openxmlformats.org/spreadsheetml/2006/main" count="1171" uniqueCount="264">
  <si>
    <t>Н</t>
  </si>
  <si>
    <t>В</t>
  </si>
  <si>
    <t>Стенка вертикальная</t>
  </si>
  <si>
    <t>n=</t>
  </si>
  <si>
    <t>мм</t>
  </si>
  <si>
    <t>h=</t>
  </si>
  <si>
    <t xml:space="preserve">                 Количество в клапане =</t>
  </si>
  <si>
    <t>Вес=</t>
  </si>
  <si>
    <t>кг</t>
  </si>
  <si>
    <t>Масса</t>
  </si>
  <si>
    <t xml:space="preserve">Определение количества лопаток n в клапане при шаге </t>
  </si>
  <si>
    <t>Высота нижнего упора для клапанов</t>
  </si>
  <si>
    <t>Количества лопаток n в клапане</t>
  </si>
  <si>
    <t xml:space="preserve">Определение шага лопаток </t>
  </si>
  <si>
    <t>Р=</t>
  </si>
  <si>
    <t>(n-1)×P=</t>
  </si>
  <si>
    <t>Определение m (H)</t>
  </si>
  <si>
    <t>Определение k (B)</t>
  </si>
  <si>
    <t>S=</t>
  </si>
  <si>
    <t>Стенка горизонтальная</t>
  </si>
  <si>
    <t>m=</t>
  </si>
  <si>
    <t>В-24=</t>
  </si>
  <si>
    <t>(В-24)/k=</t>
  </si>
  <si>
    <t>k=</t>
  </si>
  <si>
    <t>Для ВГ 064.00.00.002    А=</t>
  </si>
  <si>
    <t>Для ВГ 064.00.00.002-01    А=</t>
  </si>
  <si>
    <t>Лопасть</t>
  </si>
  <si>
    <t>В-6=</t>
  </si>
  <si>
    <r>
      <t>Н</t>
    </r>
    <r>
      <rPr>
        <sz val="8"/>
        <rFont val="Arial Cyr"/>
        <charset val="204"/>
      </rPr>
      <t>1</t>
    </r>
    <r>
      <rPr>
        <sz val="14"/>
        <rFont val="Arial Cyr"/>
        <charset val="204"/>
      </rPr>
      <t>=</t>
    </r>
  </si>
  <si>
    <r>
      <t>Н</t>
    </r>
    <r>
      <rPr>
        <sz val="8"/>
        <rFont val="Arial Cyr"/>
        <charset val="204"/>
      </rPr>
      <t>2</t>
    </r>
    <r>
      <rPr>
        <sz val="14"/>
        <rFont val="Arial Cyr"/>
        <charset val="204"/>
      </rPr>
      <t>=</t>
    </r>
  </si>
  <si>
    <r>
      <t>Н</t>
    </r>
    <r>
      <rPr>
        <sz val="8"/>
        <rFont val="Arial Cyr"/>
        <charset val="204"/>
      </rPr>
      <t>3</t>
    </r>
    <r>
      <rPr>
        <sz val="14"/>
        <rFont val="Arial Cyr"/>
        <charset val="204"/>
      </rPr>
      <t>=</t>
    </r>
  </si>
  <si>
    <t>ВГ 064.00.00.004</t>
  </si>
  <si>
    <t>Уголок</t>
  </si>
  <si>
    <t>Развертка=</t>
  </si>
  <si>
    <t>ВГ 064.00.00.006</t>
  </si>
  <si>
    <t>Упор нижний</t>
  </si>
  <si>
    <t>Упор верхний</t>
  </si>
  <si>
    <t>ВГ 064.00.00.007</t>
  </si>
  <si>
    <t>h+18=</t>
  </si>
  <si>
    <t>для h</t>
  </si>
  <si>
    <t>Переходник</t>
  </si>
  <si>
    <t>ВГ 064.00.00.009</t>
  </si>
  <si>
    <t>Ограничитель</t>
  </si>
  <si>
    <t>Латунь</t>
  </si>
  <si>
    <t>Количество в клапане=</t>
  </si>
  <si>
    <t xml:space="preserve">Ось ТЕКИ 176.02.00.002 </t>
  </si>
  <si>
    <t>Болт М6×30 ГОСТ 7798-70</t>
  </si>
  <si>
    <t>Гайка М6 ГОСТ 5915-70</t>
  </si>
  <si>
    <t>Шайба 6 ГОСТ 6402-70</t>
  </si>
  <si>
    <t>Заклепка стальная Ø4,8×12</t>
  </si>
  <si>
    <t>4×n-4=</t>
  </si>
  <si>
    <t>Втулка ТЕКИ 126.01.04</t>
  </si>
  <si>
    <t>В+60=</t>
  </si>
  <si>
    <t>В+30=</t>
  </si>
  <si>
    <t>ВГ 064.00.00.003 и -01</t>
  </si>
  <si>
    <t>Заклепка алюминиевая Ø3,2×8</t>
  </si>
  <si>
    <t>Н+60=</t>
  </si>
  <si>
    <t>Н+30=</t>
  </si>
  <si>
    <t>ВГ 110.00.00.003</t>
  </si>
  <si>
    <t>В-3=</t>
  </si>
  <si>
    <t>В-0,6=</t>
  </si>
  <si>
    <t>В+3=</t>
  </si>
  <si>
    <t>((H+30)/m-13,5)=</t>
  </si>
  <si>
    <t>(В+30)/k=</t>
  </si>
  <si>
    <t>(Н+30)/m=</t>
  </si>
  <si>
    <t>ВГ 064.00.00.001 и -01</t>
  </si>
  <si>
    <t>ВГ 064.00.00.002 и -01</t>
  </si>
  <si>
    <t>Клапан   КЛ-В и Тюльпан-1</t>
  </si>
  <si>
    <t xml:space="preserve">Накладная№ 
</t>
  </si>
  <si>
    <t>№ б.з/ заказа</t>
  </si>
  <si>
    <t>Тип клапана</t>
  </si>
  <si>
    <t>Вырубка</t>
  </si>
  <si>
    <t>Гибка</t>
  </si>
  <si>
    <t>Задание выполнено полностью</t>
  </si>
  <si>
    <t>_________________</t>
  </si>
  <si>
    <t>Стенка вертикальная ВГ 064.00.00.001 и -01</t>
  </si>
  <si>
    <t>(H+30)/k=</t>
  </si>
  <si>
    <t>Материал толщина 1,5 мм</t>
  </si>
  <si>
    <t>n</t>
  </si>
  <si>
    <t>х</t>
  </si>
  <si>
    <t>Заказ №</t>
  </si>
  <si>
    <t>H</t>
  </si>
  <si>
    <t>B</t>
  </si>
  <si>
    <t>Тюльпан 1</t>
  </si>
  <si>
    <t>КЛ-В</t>
  </si>
  <si>
    <t>Х</t>
  </si>
  <si>
    <t>-</t>
  </si>
  <si>
    <t>исполнение клапана</t>
  </si>
  <si>
    <t>*</t>
  </si>
  <si>
    <t>D</t>
  </si>
  <si>
    <t>К</t>
  </si>
  <si>
    <t>Поля для заполнения исходный данных</t>
  </si>
  <si>
    <t>Бланк/ Заказ №</t>
  </si>
  <si>
    <t>Парамеры детали</t>
  </si>
  <si>
    <t>ОЦ</t>
  </si>
  <si>
    <t>Нерж</t>
  </si>
  <si>
    <t>Цвет</t>
  </si>
  <si>
    <t>Р</t>
  </si>
  <si>
    <t>(n-1)×P</t>
  </si>
  <si>
    <t>Н+60</t>
  </si>
  <si>
    <t>((H+30) /m-13,5)</t>
  </si>
  <si>
    <t>(H+30)/k</t>
  </si>
  <si>
    <t>k</t>
  </si>
  <si>
    <t>4×n-4</t>
  </si>
  <si>
    <t>Количество</t>
  </si>
  <si>
    <t xml:space="preserve">Кол-во стенок </t>
  </si>
  <si>
    <t>ВГ 064.00.00.001</t>
  </si>
  <si>
    <t>ВГ 064.00.00.001-01</t>
  </si>
  <si>
    <t>Стенка горизонтальная ВГ 064.00.00.002 и -01</t>
  </si>
  <si>
    <t>В+3</t>
  </si>
  <si>
    <t>В-24</t>
  </si>
  <si>
    <t>ВГ 064.00.00.002</t>
  </si>
  <si>
    <t>кол-во стенок</t>
  </si>
  <si>
    <t>А</t>
  </si>
  <si>
    <t>ВГ 064.00.00.002-01</t>
  </si>
  <si>
    <t>(В+30)/m</t>
  </si>
  <si>
    <t>(В-24)/m</t>
  </si>
  <si>
    <t>m</t>
  </si>
  <si>
    <t>Н1</t>
  </si>
  <si>
    <t>Н2</t>
  </si>
  <si>
    <t>Н3</t>
  </si>
  <si>
    <t>В-6</t>
  </si>
  <si>
    <t>ВГ 064.00.00.003</t>
  </si>
  <si>
    <t>ВГ 064.00.00.003-01</t>
  </si>
  <si>
    <t>ВГ 064.00.00.003-02</t>
  </si>
  <si>
    <t>Кол-во</t>
  </si>
  <si>
    <t>Уголок  ВГ 064.00.00.004</t>
  </si>
  <si>
    <t>Материал толщина 1 мм</t>
  </si>
  <si>
    <t>В-3</t>
  </si>
  <si>
    <t>Материал ДПРНП 1,2 НД Л63 ГОСТ 2208-91
 толщина 1,2 мм</t>
  </si>
  <si>
    <t>Упор верхний  ВГ 064.00.00.006</t>
  </si>
  <si>
    <t>В-0,6</t>
  </si>
  <si>
    <t>(В-24)/k</t>
  </si>
  <si>
    <t>Развертка</t>
  </si>
  <si>
    <t>h</t>
  </si>
  <si>
    <t>Упор нижний  ВГ 064.00.00.007</t>
  </si>
  <si>
    <t>Материал 
 толщина 1 мм</t>
  </si>
  <si>
    <t>Ограничитель  ВГ 064.00.00.009</t>
  </si>
  <si>
    <t>Материал</t>
  </si>
  <si>
    <t>h+18 (Развертка)</t>
  </si>
  <si>
    <t>Материал 
 толщина 1,5 мм</t>
  </si>
  <si>
    <t>B+30</t>
  </si>
  <si>
    <t>B+60</t>
  </si>
  <si>
    <t>H+30</t>
  </si>
  <si>
    <t>H+60</t>
  </si>
  <si>
    <t>2*  (m+k+1)</t>
  </si>
  <si>
    <t>Переходник  ВГ 064.00.00.00#3</t>
  </si>
  <si>
    <t>переходник</t>
  </si>
  <si>
    <t>Параметры переходника</t>
  </si>
  <si>
    <t>Программная</t>
  </si>
  <si>
    <t>Дата</t>
  </si>
  <si>
    <t xml:space="preserve">Путь на станке TRUMPF     ____________________________________________ </t>
  </si>
  <si>
    <t xml:space="preserve">Талон для отрыва диспетчеру </t>
  </si>
  <si>
    <t>Норма времени н/ч</t>
  </si>
  <si>
    <t>Срок выполнения заказа</t>
  </si>
  <si>
    <t xml:space="preserve">Задание на вырубку  деталей. TRUMPF 2000 </t>
  </si>
  <si>
    <t>Наименование</t>
  </si>
  <si>
    <t>Обозначение</t>
  </si>
  <si>
    <t>Примечание</t>
  </si>
  <si>
    <t>Лопасть  ВГ 064.00.00.003 и -01 и -02</t>
  </si>
  <si>
    <t>Материал/толщина</t>
  </si>
  <si>
    <t>Исполняемый файл</t>
  </si>
  <si>
    <t>Маш. время</t>
  </si>
  <si>
    <t>N раз</t>
  </si>
  <si>
    <t>Лист X*Y</t>
  </si>
  <si>
    <t>Задание сформировал (диспетчер)</t>
  </si>
  <si>
    <t>Программы подготовил</t>
  </si>
  <si>
    <t>Задание выдал (мастер)</t>
  </si>
  <si>
    <t>Задание закрыл (мастер)</t>
  </si>
  <si>
    <t>Талон для возврата диспетчеру</t>
  </si>
  <si>
    <t xml:space="preserve">Задание выполнено полностью </t>
  </si>
  <si>
    <t xml:space="preserve">Участок TRUMPF </t>
  </si>
  <si>
    <t>Сопроводительный лист на детали к накладной №</t>
  </si>
  <si>
    <t>По накладной</t>
  </si>
  <si>
    <t>Накладная</t>
  </si>
  <si>
    <t xml:space="preserve">Исходные данные по накладной № 
</t>
  </si>
  <si>
    <t>Кол-во поддонов TRUMPF</t>
  </si>
  <si>
    <t>Кол-во поддонов Гибка</t>
  </si>
  <si>
    <t>Оператор TRUMPF</t>
  </si>
  <si>
    <t>Оператор гибочного станка</t>
  </si>
  <si>
    <t>Задание на гибку  деталей. TRUMBEND</t>
  </si>
  <si>
    <t>Участок TRUMBEND</t>
  </si>
  <si>
    <t>Норма времени на гибку задания</t>
  </si>
  <si>
    <t>н/ч</t>
  </si>
  <si>
    <t>Кол-во гибов</t>
  </si>
  <si>
    <t>Дет.</t>
  </si>
  <si>
    <t>Всего</t>
  </si>
  <si>
    <t>Задание на  програмирование Trumatic 2000R</t>
  </si>
  <si>
    <t>---</t>
  </si>
  <si>
    <t xml:space="preserve"> </t>
  </si>
  <si>
    <t>Взрывозащищенное - 1 или общепромышленное исполнение -2</t>
  </si>
  <si>
    <t>Клапан   ТЮЛЬПАН-2</t>
  </si>
  <si>
    <t>Это отверстие</t>
  </si>
  <si>
    <t>Это</t>
  </si>
  <si>
    <t>ВГ 074.00.00.001</t>
  </si>
  <si>
    <t>(H+30)/m=</t>
  </si>
  <si>
    <t>H-2×((H+30)/m-15)=</t>
  </si>
  <si>
    <t>Количество=</t>
  </si>
  <si>
    <t>ВГ 064.00.00.005</t>
  </si>
  <si>
    <t>Пластина</t>
  </si>
  <si>
    <t>ВГ 074.00.00.002</t>
  </si>
  <si>
    <t>В=</t>
  </si>
  <si>
    <t>h+30=</t>
  </si>
  <si>
    <t>Упор средний</t>
  </si>
  <si>
    <t>В+26,6=</t>
  </si>
  <si>
    <t>h+23,6=</t>
  </si>
  <si>
    <t>ВГ 064.00.00.008</t>
  </si>
  <si>
    <t>В+80=</t>
  </si>
  <si>
    <t>В+40=</t>
  </si>
  <si>
    <t>(В+40)/k=</t>
  </si>
  <si>
    <t>(Н+40)/m=</t>
  </si>
  <si>
    <t>ВГ 064.00.00.009-01</t>
  </si>
  <si>
    <t>Сталь</t>
  </si>
  <si>
    <t>Втулка ТЕКИ 126.01.04 или ТЕКИ 176.01.00.004</t>
  </si>
  <si>
    <t>Ось ТЕКИ 176.02.00.002</t>
  </si>
  <si>
    <t>Заклепка стальная Ø3,2×8</t>
  </si>
  <si>
    <t>Тюльпан 2</t>
  </si>
  <si>
    <t>Стенка вертикальная ВГ 074.00.00.001</t>
  </si>
  <si>
    <t>(H+30)/m</t>
  </si>
  <si>
    <t>H-2×((H+30)/m-15)</t>
  </si>
  <si>
    <t>Стенка горизонтальная ВГ 064.00.00.002</t>
  </si>
  <si>
    <t>(В+30)/k</t>
  </si>
  <si>
    <t>Тюльпан 2-B</t>
  </si>
  <si>
    <t>num ^</t>
  </si>
  <si>
    <t>d</t>
  </si>
  <si>
    <t>Лопасть  ВГ 064.00.00.003</t>
  </si>
  <si>
    <t>Пластина ВГ 064.00.00.005</t>
  </si>
  <si>
    <t>Упор средний ВГ 074.00.00.002</t>
  </si>
  <si>
    <t>В+26,6</t>
  </si>
  <si>
    <t>h+30</t>
  </si>
  <si>
    <t>h+23.6</t>
  </si>
  <si>
    <t>Переходник  ВГ 064.00.00.008</t>
  </si>
  <si>
    <t>Н+30</t>
  </si>
  <si>
    <t>(Н+30)/m</t>
  </si>
  <si>
    <t>------------------------------------------------------------------------------------------------------------------------------------------------------------ T2 here!</t>
  </si>
  <si>
    <t>%T1_DATA</t>
  </si>
  <si>
    <t>%HDR</t>
  </si>
  <si>
    <t>%END</t>
  </si>
  <si>
    <t>ololo!</t>
  </si>
  <si>
    <t>Ограничитель  ВГ 064.00.00.009-01</t>
  </si>
  <si>
    <t>%CMN_DATA</t>
  </si>
  <si>
    <t xml:space="preserve">Стенка вертикальная </t>
  </si>
  <si>
    <t>ВГ 064.00.00.001 (-01)</t>
  </si>
  <si>
    <t>ВГ 064.00.00.002 (-01)</t>
  </si>
  <si>
    <t>Лопатка</t>
  </si>
  <si>
    <t>ВГ 064.00.003-02</t>
  </si>
  <si>
    <t>ВГ 064.00.003-01</t>
  </si>
  <si>
    <t xml:space="preserve">Уголок </t>
  </si>
  <si>
    <t>ВГ 064.00.00.00#3</t>
  </si>
  <si>
    <t>%BEND_DATA</t>
  </si>
  <si>
    <t>время</t>
  </si>
  <si>
    <t>%SPT_DATA</t>
  </si>
  <si>
    <t>ДПРНП 1,2 НД Л63</t>
  </si>
  <si>
    <t>Материал 
 толщина 1,0 мм</t>
  </si>
  <si>
    <t>Комплектовочный лист</t>
  </si>
  <si>
    <t>Количество мест_________________________________</t>
  </si>
  <si>
    <t>Комплектовщик заготовительного участка:</t>
  </si>
  <si>
    <t>Сдал:_______________________Дата:________________</t>
  </si>
  <si>
    <t>Комплектовщик сборочного участка:</t>
  </si>
  <si>
    <t>Принял:_____________________Дата:________________</t>
  </si>
  <si>
    <t>Материал /толщина</t>
  </si>
  <si>
    <t>%COMPL_DATA</t>
  </si>
  <si>
    <t>((B+30) /k-13,5)</t>
  </si>
  <si>
    <t>((B+30)/k-13,5)=</t>
  </si>
</sst>
</file>

<file path=xl/styles.xml><?xml version="1.0" encoding="utf-8"?>
<styleSheet xmlns="http://schemas.openxmlformats.org/spreadsheetml/2006/main">
  <numFmts count="1">
    <numFmt numFmtId="164" formatCode="0.0"/>
  </numFmts>
  <fonts count="37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4"/>
      <name val="Arial Cyr"/>
      <charset val="204"/>
    </font>
    <font>
      <b/>
      <sz val="10"/>
      <name val="Arial Cyr"/>
      <charset val="204"/>
    </font>
    <font>
      <b/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10"/>
      <name val="Arial Cyr"/>
      <charset val="204"/>
    </font>
    <font>
      <sz val="6"/>
      <name val="Arial Cyr"/>
      <charset val="204"/>
    </font>
    <font>
      <sz val="11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b/>
      <sz val="16"/>
      <name val="Arial Cyr"/>
      <charset val="204"/>
    </font>
    <font>
      <sz val="11"/>
      <name val="Times New Roman"/>
      <family val="1"/>
      <charset val="204"/>
    </font>
    <font>
      <b/>
      <sz val="14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4"/>
      <color rgb="FF000000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  <font>
      <b/>
      <u/>
      <sz val="12"/>
      <color rgb="FF000000"/>
      <name val="Times New Roman"/>
      <family val="1"/>
      <charset val="204"/>
    </font>
    <font>
      <sz val="10"/>
      <color theme="0"/>
      <name val="Arial Cyr"/>
      <charset val="204"/>
    </font>
    <font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6"/>
      <color rgb="FF000000"/>
      <name val="Times New Roman"/>
      <family val="1"/>
      <charset val="204"/>
    </font>
    <font>
      <sz val="10"/>
      <color theme="1"/>
      <name val="Arial Cyr"/>
      <charset val="204"/>
    </font>
    <font>
      <sz val="10"/>
      <name val="Arial Cyr"/>
    </font>
    <font>
      <b/>
      <u/>
      <sz val="14"/>
      <color rgb="FF000000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6">
    <xf numFmtId="0" fontId="0" fillId="0" borderId="0" xfId="0"/>
    <xf numFmtId="0" fontId="20" fillId="0" borderId="2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7" xfId="0" applyBorder="1"/>
    <xf numFmtId="0" fontId="0" fillId="0" borderId="2" xfId="0" applyBorder="1"/>
    <xf numFmtId="0" fontId="5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3" fillId="0" borderId="0" xfId="0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0" fillId="0" borderId="1" xfId="0" applyBorder="1"/>
    <xf numFmtId="0" fontId="3" fillId="0" borderId="8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2" borderId="0" xfId="0" applyFont="1" applyFill="1" applyBorder="1" applyAlignment="1"/>
    <xf numFmtId="0" fontId="3" fillId="0" borderId="0" xfId="0" applyFont="1"/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textRotation="90" wrapText="1"/>
    </xf>
    <xf numFmtId="0" fontId="7" fillId="0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 textRotation="90" wrapText="1"/>
    </xf>
    <xf numFmtId="0" fontId="7" fillId="2" borderId="6" xfId="0" applyFont="1" applyFill="1" applyBorder="1" applyAlignment="1"/>
    <xf numFmtId="0" fontId="7" fillId="5" borderId="6" xfId="0" applyFont="1" applyFill="1" applyBorder="1" applyAlignment="1"/>
    <xf numFmtId="0" fontId="7" fillId="5" borderId="0" xfId="0" applyFont="1" applyFill="1" applyBorder="1" applyAlignment="1"/>
    <xf numFmtId="0" fontId="0" fillId="0" borderId="8" xfId="0" applyBorder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0" borderId="2" xfId="0" applyFont="1" applyBorder="1" applyAlignment="1">
      <alignment horizontal="right" vertical="center"/>
    </xf>
    <xf numFmtId="0" fontId="3" fillId="0" borderId="0" xfId="0" applyFont="1" applyFill="1" applyAlignment="1">
      <alignment horizontal="center"/>
    </xf>
    <xf numFmtId="0" fontId="3" fillId="0" borderId="7" xfId="0" applyFont="1" applyBorder="1" applyAlignment="1">
      <alignment horizontal="right" vertical="center"/>
    </xf>
    <xf numFmtId="0" fontId="3" fillId="0" borderId="5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7" xfId="0" applyFont="1" applyBorder="1" applyAlignment="1">
      <alignment vertical="center"/>
    </xf>
    <xf numFmtId="0" fontId="7" fillId="0" borderId="9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left"/>
    </xf>
    <xf numFmtId="0" fontId="4" fillId="0" borderId="10" xfId="0" applyFont="1" applyFill="1" applyBorder="1" applyAlignment="1"/>
    <xf numFmtId="0" fontId="6" fillId="0" borderId="9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 vertical="center"/>
    </xf>
    <xf numFmtId="0" fontId="6" fillId="0" borderId="10" xfId="0" applyFont="1" applyFill="1" applyBorder="1" applyAlignment="1"/>
    <xf numFmtId="0" fontId="6" fillId="0" borderId="9" xfId="0" applyFont="1" applyFill="1" applyBorder="1" applyAlignment="1"/>
    <xf numFmtId="0" fontId="6" fillId="0" borderId="9" xfId="0" applyFont="1" applyBorder="1" applyAlignment="1">
      <alignment horizontal="center"/>
    </xf>
    <xf numFmtId="0" fontId="4" fillId="0" borderId="9" xfId="0" applyFont="1" applyBorder="1"/>
    <xf numFmtId="0" fontId="6" fillId="0" borderId="11" xfId="0" applyFont="1" applyBorder="1" applyAlignment="1">
      <alignment horizontal="center"/>
    </xf>
    <xf numFmtId="0" fontId="6" fillId="0" borderId="10" xfId="0" applyFont="1" applyFill="1" applyBorder="1" applyAlignment="1">
      <alignment vertical="center"/>
    </xf>
    <xf numFmtId="0" fontId="6" fillId="0" borderId="9" xfId="0" applyFont="1" applyFill="1" applyBorder="1"/>
    <xf numFmtId="0" fontId="4" fillId="0" borderId="9" xfId="0" applyFont="1" applyFill="1" applyBorder="1"/>
    <xf numFmtId="0" fontId="6" fillId="0" borderId="11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Border="1"/>
    <xf numFmtId="0" fontId="6" fillId="0" borderId="11" xfId="0" applyFont="1" applyBorder="1" applyAlignment="1">
      <alignment horizontal="center" vertical="center"/>
    </xf>
    <xf numFmtId="0" fontId="0" fillId="0" borderId="8" xfId="0" applyBorder="1"/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0" xfId="0" applyBorder="1" applyAlignment="1">
      <alignment horizontal="right"/>
    </xf>
    <xf numFmtId="0" fontId="18" fillId="0" borderId="0" xfId="0" applyFont="1" applyAlignment="1" applyProtection="1">
      <alignment horizontal="left"/>
      <protection locked="0"/>
    </xf>
    <xf numFmtId="0" fontId="0" fillId="0" borderId="0" xfId="0" applyBorder="1" applyAlignment="1">
      <alignment wrapText="1"/>
    </xf>
    <xf numFmtId="164" fontId="0" fillId="6" borderId="12" xfId="0" applyNumberFormat="1" applyFill="1" applyBorder="1" applyAlignment="1">
      <alignment horizontal="center"/>
    </xf>
    <xf numFmtId="0" fontId="2" fillId="0" borderId="12" xfId="0" applyFont="1" applyBorder="1" applyAlignment="1">
      <alignment horizontal="center" wrapText="1"/>
    </xf>
    <xf numFmtId="1" fontId="0" fillId="6" borderId="12" xfId="0" applyNumberFormat="1" applyFill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6" fillId="0" borderId="12" xfId="0" applyFont="1" applyBorder="1" applyAlignment="1">
      <alignment horizontal="center" vertical="center"/>
    </xf>
    <xf numFmtId="0" fontId="0" fillId="0" borderId="0" xfId="0" applyBorder="1" applyAlignment="1"/>
    <xf numFmtId="0" fontId="9" fillId="0" borderId="12" xfId="0" applyFont="1" applyBorder="1" applyAlignment="1"/>
    <xf numFmtId="0" fontId="2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6" fillId="0" borderId="12" xfId="0" applyFont="1" applyBorder="1" applyAlignment="1"/>
    <xf numFmtId="0" fontId="22" fillId="0" borderId="12" xfId="0" applyFont="1" applyBorder="1" applyAlignment="1">
      <alignment horizontal="center" wrapText="1"/>
    </xf>
    <xf numFmtId="0" fontId="3" fillId="0" borderId="12" xfId="0" applyFont="1" applyBorder="1"/>
    <xf numFmtId="0" fontId="17" fillId="6" borderId="12" xfId="0" applyFont="1" applyFill="1" applyBorder="1" applyAlignment="1">
      <alignment horizontal="center"/>
    </xf>
    <xf numFmtId="0" fontId="0" fillId="6" borderId="12" xfId="0" applyFill="1" applyBorder="1"/>
    <xf numFmtId="0" fontId="3" fillId="6" borderId="12" xfId="0" applyFont="1" applyFill="1" applyBorder="1"/>
    <xf numFmtId="0" fontId="23" fillId="0" borderId="13" xfId="0" applyFont="1" applyBorder="1"/>
    <xf numFmtId="0" fontId="23" fillId="0" borderId="0" xfId="0" applyFont="1" applyBorder="1"/>
    <xf numFmtId="0" fontId="24" fillId="0" borderId="0" xfId="0" applyFont="1" applyBorder="1"/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18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13" xfId="0" applyBorder="1" applyAlignment="1"/>
    <xf numFmtId="0" fontId="0" fillId="0" borderId="15" xfId="0" applyBorder="1"/>
    <xf numFmtId="0" fontId="0" fillId="0" borderId="21" xfId="0" applyBorder="1"/>
    <xf numFmtId="0" fontId="23" fillId="0" borderId="18" xfId="0" applyFont="1" applyBorder="1"/>
    <xf numFmtId="49" fontId="0" fillId="0" borderId="0" xfId="0" applyNumberFormat="1"/>
    <xf numFmtId="0" fontId="0" fillId="0" borderId="12" xfId="0" applyBorder="1"/>
    <xf numFmtId="49" fontId="0" fillId="0" borderId="18" xfId="0" applyNumberFormat="1" applyBorder="1"/>
    <xf numFmtId="0" fontId="6" fillId="0" borderId="13" xfId="0" applyFont="1" applyBorder="1"/>
    <xf numFmtId="49" fontId="0" fillId="0" borderId="0" xfId="0" applyNumberFormat="1" applyBorder="1"/>
    <xf numFmtId="0" fontId="11" fillId="0" borderId="0" xfId="0" applyFont="1" applyBorder="1"/>
    <xf numFmtId="49" fontId="0" fillId="0" borderId="13" xfId="0" applyNumberFormat="1" applyBorder="1"/>
    <xf numFmtId="0" fontId="0" fillId="0" borderId="17" xfId="0" applyBorder="1"/>
    <xf numFmtId="0" fontId="6" fillId="0" borderId="0" xfId="0" applyFont="1" applyBorder="1"/>
    <xf numFmtId="0" fontId="28" fillId="0" borderId="0" xfId="0" applyFont="1" applyAlignment="1">
      <alignment horizontal="center" vertical="center"/>
    </xf>
    <xf numFmtId="0" fontId="0" fillId="0" borderId="0" xfId="0" applyFill="1" applyBorder="1"/>
    <xf numFmtId="164" fontId="0" fillId="0" borderId="22" xfId="0" applyNumberFormat="1" applyBorder="1" applyAlignment="1">
      <alignment horizontal="center" vertical="center"/>
    </xf>
    <xf numFmtId="0" fontId="0" fillId="0" borderId="18" xfId="0" applyBorder="1" applyAlignment="1">
      <alignment horizontal="right"/>
    </xf>
    <xf numFmtId="0" fontId="27" fillId="0" borderId="0" xfId="0" applyFont="1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5" fillId="0" borderId="1" xfId="0" applyFont="1" applyBorder="1" applyAlignment="1">
      <alignment horizontal="right" vertical="center"/>
    </xf>
    <xf numFmtId="0" fontId="3" fillId="0" borderId="7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/>
    </xf>
    <xf numFmtId="0" fontId="19" fillId="6" borderId="12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16" fillId="6" borderId="12" xfId="0" applyFont="1" applyFill="1" applyBorder="1" applyAlignment="1">
      <alignment horizontal="center"/>
    </xf>
    <xf numFmtId="0" fontId="29" fillId="0" borderId="0" xfId="0" applyFont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 applyProtection="1">
      <alignment horizontal="center" vertical="center" shrinkToFit="1"/>
      <protection locked="0"/>
    </xf>
    <xf numFmtId="0" fontId="29" fillId="0" borderId="0" xfId="0" applyFont="1" applyBorder="1" applyAlignment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22" fillId="0" borderId="12" xfId="0" applyFont="1" applyBorder="1" applyAlignment="1">
      <alignment horizontal="center"/>
    </xf>
    <xf numFmtId="0" fontId="22" fillId="0" borderId="12" xfId="0" applyFont="1" applyBorder="1" applyAlignment="1"/>
    <xf numFmtId="0" fontId="10" fillId="6" borderId="12" xfId="0" applyFont="1" applyFill="1" applyBorder="1" applyAlignment="1">
      <alignment horizontal="center" vertical="center"/>
    </xf>
    <xf numFmtId="0" fontId="0" fillId="0" borderId="0" xfId="0" quotePrefix="1"/>
    <xf numFmtId="0" fontId="0" fillId="0" borderId="23" xfId="0" applyBorder="1" applyAlignment="1"/>
    <xf numFmtId="0" fontId="2" fillId="0" borderId="23" xfId="0" applyFont="1" applyBorder="1" applyAlignment="1">
      <alignment wrapText="1"/>
    </xf>
    <xf numFmtId="0" fontId="0" fillId="0" borderId="0" xfId="0" applyFont="1" applyBorder="1" applyAlignment="1">
      <alignment horizontal="center" vertical="center"/>
    </xf>
    <xf numFmtId="0" fontId="0" fillId="6" borderId="12" xfId="0" quotePrefix="1" applyFill="1" applyBorder="1" applyAlignment="1">
      <alignment horizontal="center"/>
    </xf>
    <xf numFmtId="0" fontId="20" fillId="8" borderId="27" xfId="0" applyFont="1" applyFill="1" applyBorder="1" applyAlignment="1">
      <alignment horizontal="center" vertical="center" wrapText="1"/>
    </xf>
    <xf numFmtId="0" fontId="20" fillId="8" borderId="27" xfId="0" applyFont="1" applyFill="1" applyBorder="1" applyAlignment="1">
      <alignment horizontal="center" vertical="center" shrinkToFit="1"/>
    </xf>
    <xf numFmtId="0" fontId="25" fillId="9" borderId="28" xfId="0" applyFont="1" applyFill="1" applyBorder="1" applyAlignment="1">
      <alignment horizontal="center" vertical="center"/>
    </xf>
    <xf numFmtId="0" fontId="0" fillId="0" borderId="24" xfId="0" applyBorder="1" applyAlignment="1"/>
    <xf numFmtId="0" fontId="16" fillId="0" borderId="24" xfId="0" applyFont="1" applyBorder="1" applyAlignment="1"/>
    <xf numFmtId="0" fontId="19" fillId="6" borderId="24" xfId="0" applyFont="1" applyFill="1" applyBorder="1" applyAlignment="1"/>
    <xf numFmtId="0" fontId="16" fillId="6" borderId="24" xfId="0" applyFont="1" applyFill="1" applyBorder="1" applyAlignment="1"/>
    <xf numFmtId="0" fontId="16" fillId="6" borderId="12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/>
    </xf>
    <xf numFmtId="0" fontId="17" fillId="0" borderId="14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16" fillId="6" borderId="12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center"/>
    </xf>
    <xf numFmtId="0" fontId="0" fillId="0" borderId="12" xfId="0" applyNumberFormat="1" applyBorder="1"/>
    <xf numFmtId="0" fontId="0" fillId="0" borderId="25" xfId="0" applyBorder="1"/>
    <xf numFmtId="0" fontId="0" fillId="0" borderId="24" xfId="0" applyBorder="1"/>
    <xf numFmtId="0" fontId="0" fillId="0" borderId="22" xfId="0" applyBorder="1"/>
    <xf numFmtId="0" fontId="26" fillId="0" borderId="18" xfId="0" applyFont="1" applyBorder="1"/>
    <xf numFmtId="0" fontId="0" fillId="0" borderId="0" xfId="0" applyBorder="1" applyAlignment="1">
      <alignment horizontal="center"/>
    </xf>
    <xf numFmtId="0" fontId="0" fillId="10" borderId="12" xfId="0" applyFill="1" applyBorder="1"/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/>
    </xf>
    <xf numFmtId="0" fontId="0" fillId="0" borderId="0" xfId="0" applyAlignment="1">
      <alignment horizontal="center" vertical="center"/>
    </xf>
    <xf numFmtId="0" fontId="2" fillId="10" borderId="12" xfId="0" applyFont="1" applyFill="1" applyBorder="1"/>
    <xf numFmtId="0" fontId="0" fillId="0" borderId="12" xfId="0" applyBorder="1" applyAlignment="1">
      <alignment vertical="center"/>
    </xf>
    <xf numFmtId="0" fontId="0" fillId="0" borderId="12" xfId="0" applyBorder="1" applyAlignment="1">
      <alignment vertical="center" shrinkToFit="1"/>
    </xf>
    <xf numFmtId="0" fontId="25" fillId="11" borderId="29" xfId="0" applyFont="1" applyFill="1" applyBorder="1" applyAlignment="1">
      <alignment horizontal="center" vertical="center"/>
    </xf>
    <xf numFmtId="0" fontId="34" fillId="11" borderId="29" xfId="1" applyFont="1" applyFill="1" applyBorder="1" applyAlignment="1">
      <alignment horizontal="center" vertical="center"/>
    </xf>
    <xf numFmtId="0" fontId="34" fillId="11" borderId="29" xfId="0" applyFont="1" applyFill="1" applyBorder="1" applyAlignment="1">
      <alignment horizontal="center" vertical="center"/>
    </xf>
    <xf numFmtId="0" fontId="34" fillId="11" borderId="30" xfId="0" applyFont="1" applyFill="1" applyBorder="1" applyAlignment="1">
      <alignment horizontal="center" vertical="center"/>
    </xf>
    <xf numFmtId="0" fontId="17" fillId="0" borderId="21" xfId="0" applyFont="1" applyBorder="1" applyAlignment="1">
      <alignment vertical="center" wrapText="1"/>
    </xf>
    <xf numFmtId="0" fontId="17" fillId="0" borderId="18" xfId="0" applyFont="1" applyBorder="1" applyAlignment="1">
      <alignment vertical="center" wrapText="1"/>
    </xf>
    <xf numFmtId="0" fontId="17" fillId="0" borderId="16" xfId="0" applyFont="1" applyBorder="1" applyAlignment="1">
      <alignment vertical="center" wrapText="1"/>
    </xf>
    <xf numFmtId="0" fontId="17" fillId="0" borderId="20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17" xfId="0" applyFont="1" applyBorder="1" applyAlignment="1">
      <alignment vertical="center" wrapText="1"/>
    </xf>
    <xf numFmtId="0" fontId="20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8" fillId="0" borderId="13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4" xfId="0" applyFill="1" applyBorder="1" applyAlignment="1">
      <alignment horizontal="center" wrapText="1"/>
    </xf>
    <xf numFmtId="0" fontId="0" fillId="10" borderId="25" xfId="0" applyFont="1" applyFill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 vertical="center" shrinkToFit="1"/>
    </xf>
    <xf numFmtId="0" fontId="5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center"/>
    </xf>
    <xf numFmtId="0" fontId="32" fillId="0" borderId="23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 vertical="center" wrapText="1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7" fillId="0" borderId="23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19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right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1" fillId="0" borderId="20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22" xfId="0" applyFont="1" applyFill="1" applyBorder="1" applyAlignment="1">
      <alignment horizontal="center" vertical="center"/>
    </xf>
    <xf numFmtId="0" fontId="19" fillId="6" borderId="25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/>
    </xf>
    <xf numFmtId="0" fontId="16" fillId="6" borderId="12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16" fillId="6" borderId="12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Border="1" applyAlignment="1">
      <alignment horizontal="center" wrapText="1"/>
    </xf>
    <xf numFmtId="0" fontId="9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27" fillId="0" borderId="1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14" xfId="0" applyFill="1" applyBorder="1" applyAlignment="1">
      <alignment horizontal="center"/>
    </xf>
  </cellXfs>
  <cellStyles count="2">
    <cellStyle name="Обычный" xfId="0" builtinId="0"/>
    <cellStyle name="УровеньСтрок_1" xfId="1" builtinId="1" iLevel="0"/>
  </cellStyles>
  <dxfs count="1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Src_data" displayName="Src_data" ref="L26:W34" totalsRowShown="0" dataDxfId="12">
  <tableColumns count="12">
    <tableColumn id="1" name="Заказ №" dataDxfId="11"/>
    <tableColumn id="2" name="Бланк/ Заказ №" dataDxfId="10"/>
    <tableColumn id="3" name="Тип клапана" dataDxfId="9"/>
    <tableColumn id="4" name="H" dataDxfId="8"/>
    <tableColumn id="5" name="х" dataDxfId="7"/>
    <tableColumn id="6" name="B" dataDxfId="6"/>
    <tableColumn id="7" name="-" dataDxfId="5"/>
    <tableColumn id="8" name="исполнение клапана" dataDxfId="4"/>
    <tableColumn id="9" name="n" dataDxfId="3"/>
    <tableColumn id="10" name="*" dataDxfId="2"/>
    <tableColumn id="11" name="D" dataDxfId="1"/>
    <tableColumn id="12" name="Количество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0"/>
  <dimension ref="A1:AZ127"/>
  <sheetViews>
    <sheetView topLeftCell="Q1" zoomScale="85" zoomScaleNormal="85" workbookViewId="0">
      <selection activeCell="AB7" sqref="AB7:AC7"/>
    </sheetView>
  </sheetViews>
  <sheetFormatPr defaultRowHeight="12.75"/>
  <cols>
    <col min="1" max="1" width="10.140625" customWidth="1"/>
    <col min="2" max="2" width="10.42578125" customWidth="1"/>
    <col min="3" max="3" width="10.85546875" customWidth="1"/>
    <col min="4" max="4" width="5.42578125" customWidth="1"/>
    <col min="5" max="5" width="1.85546875" customWidth="1"/>
    <col min="6" max="6" width="5.85546875" customWidth="1"/>
    <col min="7" max="7" width="5.42578125" customWidth="1"/>
    <col min="8" max="8" width="5.5703125" customWidth="1"/>
    <col min="9" max="10" width="6.5703125" customWidth="1"/>
    <col min="11" max="12" width="7" customWidth="1"/>
    <col min="13" max="13" width="7.5703125" customWidth="1"/>
    <col min="14" max="14" width="8.7109375" customWidth="1"/>
    <col min="16" max="16" width="10" customWidth="1"/>
    <col min="17" max="17" width="12.5703125" customWidth="1"/>
    <col min="18" max="18" width="5.7109375" customWidth="1"/>
    <col min="19" max="19" width="3.28515625" customWidth="1"/>
    <col min="20" max="20" width="5.140625" customWidth="1"/>
    <col min="21" max="21" width="3" customWidth="1"/>
    <col min="22" max="22" width="5.85546875" customWidth="1"/>
    <col min="23" max="23" width="3.28515625" customWidth="1"/>
  </cols>
  <sheetData>
    <row r="1" spans="1:52" ht="18.75">
      <c r="A1" s="1" t="s">
        <v>187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AA1" s="121"/>
      <c r="AB1" s="115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15"/>
      <c r="AR1" s="115"/>
      <c r="AS1" s="115"/>
      <c r="AT1" s="115"/>
      <c r="AU1" s="115"/>
      <c r="AV1" s="115"/>
      <c r="AW1" s="115"/>
      <c r="AX1" s="115"/>
      <c r="AY1" s="115"/>
      <c r="AZ1" s="115"/>
    </row>
    <row r="2" spans="1:52" ht="21">
      <c r="A2" s="216" t="s">
        <v>68</v>
      </c>
      <c r="B2" s="217"/>
      <c r="C2" s="218"/>
      <c r="D2" s="218"/>
      <c r="F2" s="92">
        <v>390</v>
      </c>
      <c r="AA2" s="121" t="s">
        <v>152</v>
      </c>
      <c r="AB2" s="115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11"/>
      <c r="AP2" s="111"/>
      <c r="AQ2" s="6"/>
      <c r="AR2" s="6"/>
      <c r="AS2" s="6"/>
      <c r="AT2" s="6"/>
      <c r="AU2" s="6"/>
      <c r="AV2" s="6"/>
      <c r="AW2" s="6"/>
      <c r="AX2" s="6"/>
      <c r="AY2" s="6"/>
      <c r="AZ2" s="6"/>
    </row>
    <row r="3" spans="1:52" ht="18.75">
      <c r="AC3" s="221" t="str">
        <f>CONCATENATE("Сопроводительная лист №",$F$2)</f>
        <v>Сопроводительная лист №390</v>
      </c>
      <c r="AD3" s="221"/>
      <c r="AE3" s="221"/>
      <c r="AF3" s="221"/>
      <c r="AG3" s="221"/>
      <c r="AH3" s="221"/>
      <c r="AI3" s="221"/>
      <c r="AJ3" s="112"/>
      <c r="AK3" s="188"/>
      <c r="AL3" s="111"/>
      <c r="AM3" s="111"/>
      <c r="AN3" s="111"/>
      <c r="AO3" s="112"/>
      <c r="AP3" s="112"/>
      <c r="AQ3" s="112"/>
      <c r="AR3" s="6"/>
      <c r="AS3" s="6"/>
      <c r="AT3" s="6"/>
      <c r="AU3" s="6"/>
      <c r="AV3" s="6"/>
      <c r="AW3" s="6"/>
      <c r="AX3" s="6"/>
      <c r="AY3" s="6"/>
      <c r="AZ3" s="6"/>
    </row>
    <row r="4" spans="1:52" ht="15" customHeight="1">
      <c r="AA4" s="120"/>
      <c r="AB4" s="6"/>
      <c r="AC4" s="219"/>
      <c r="AD4" s="219"/>
      <c r="AE4" s="219"/>
      <c r="AF4" s="219"/>
      <c r="AG4" s="219"/>
      <c r="AH4" s="219"/>
      <c r="AI4" s="111"/>
      <c r="AJ4" s="111"/>
      <c r="AK4" s="111"/>
      <c r="AL4" s="111"/>
      <c r="AM4" s="111"/>
      <c r="AN4" s="111"/>
      <c r="AO4" s="111"/>
      <c r="AP4" s="111"/>
      <c r="AQ4" s="6"/>
      <c r="AR4" s="6"/>
      <c r="AS4" s="6"/>
      <c r="AT4" s="6"/>
      <c r="AU4" s="6"/>
      <c r="AV4" s="6"/>
      <c r="AW4" s="6"/>
      <c r="AX4" s="6"/>
      <c r="AY4" s="6"/>
      <c r="AZ4" s="6"/>
    </row>
    <row r="5" spans="1:52" ht="15" customHeight="1">
      <c r="AA5" s="120"/>
      <c r="AB5" s="6"/>
      <c r="AC5" s="111" t="s">
        <v>73</v>
      </c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6"/>
      <c r="AR5" s="6"/>
      <c r="AS5" s="6"/>
      <c r="AT5" s="6"/>
      <c r="AU5" s="6"/>
      <c r="AV5" s="6"/>
      <c r="AW5" s="6"/>
      <c r="AX5" s="6"/>
      <c r="AY5" s="6"/>
      <c r="AZ5" s="6"/>
    </row>
    <row r="6" spans="1:52" ht="15">
      <c r="AA6" s="120"/>
      <c r="AB6" s="6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6"/>
      <c r="AR6" s="6"/>
      <c r="AS6" s="6"/>
      <c r="AT6" s="6"/>
      <c r="AU6" s="6"/>
      <c r="AV6" s="6"/>
      <c r="AW6" s="6"/>
      <c r="AX6" s="6"/>
      <c r="AY6" s="6"/>
      <c r="AZ6" s="6"/>
    </row>
    <row r="7" spans="1:52" ht="15">
      <c r="AA7" s="120"/>
      <c r="AB7" s="219" t="s">
        <v>149</v>
      </c>
      <c r="AC7" s="219"/>
      <c r="AD7" s="111" t="s">
        <v>74</v>
      </c>
      <c r="AE7" s="111"/>
      <c r="AF7" s="111"/>
      <c r="AG7" s="111"/>
      <c r="AH7" s="111"/>
      <c r="AI7" s="111" t="s">
        <v>150</v>
      </c>
      <c r="AJ7" s="110"/>
      <c r="AK7" s="110"/>
      <c r="AL7" s="110"/>
      <c r="AM7" s="111"/>
      <c r="AN7" s="111"/>
      <c r="AO7" s="111"/>
      <c r="AP7" s="111"/>
      <c r="AQ7" s="6"/>
      <c r="AR7" s="6"/>
      <c r="AS7" s="6"/>
      <c r="AT7" s="6"/>
      <c r="AU7" s="6"/>
      <c r="AV7" s="6"/>
      <c r="AW7" s="6"/>
      <c r="AX7" s="6"/>
      <c r="AY7" s="6"/>
      <c r="AZ7" s="6"/>
    </row>
    <row r="8" spans="1:52" ht="15">
      <c r="AA8" s="120"/>
      <c r="AB8" s="6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6"/>
      <c r="AR8" s="6"/>
      <c r="AS8" s="6"/>
      <c r="AT8" s="6"/>
      <c r="AU8" s="6"/>
      <c r="AV8" s="6"/>
      <c r="AW8" s="6"/>
      <c r="AX8" s="6"/>
      <c r="AY8" s="6"/>
      <c r="AZ8" s="6"/>
    </row>
    <row r="9" spans="1:52" ht="15" customHeight="1">
      <c r="AA9" s="120"/>
      <c r="AB9" s="220" t="s">
        <v>151</v>
      </c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111"/>
      <c r="AN9" s="111"/>
      <c r="AO9" s="111"/>
      <c r="AP9" s="111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 ht="15">
      <c r="AA10" s="120"/>
      <c r="AB10" s="6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2.75" customHeight="1"/>
    <row r="12" spans="1:52" ht="15" customHeight="1"/>
    <row r="13" spans="1:52" ht="12.75" customHeight="1"/>
    <row r="14" spans="1:52" ht="15" customHeight="1"/>
    <row r="16" spans="1:52" ht="12.75" customHeight="1"/>
    <row r="17" ht="12.75" customHeight="1"/>
    <row r="18" ht="12.75" customHeight="1"/>
    <row r="19" ht="15" customHeight="1"/>
    <row r="20" ht="12.75" customHeight="1"/>
    <row r="21" ht="12.75" customHeight="1"/>
    <row r="22" ht="12.75" customHeight="1"/>
    <row r="23" ht="12.75" customHeight="1"/>
    <row r="24" ht="15" customHeight="1"/>
    <row r="29" ht="12.75" customHeight="1"/>
    <row r="30" ht="12.75" customHeight="1"/>
    <row r="3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3" ht="12.75" customHeight="1"/>
    <row r="44" ht="12.75" customHeight="1"/>
    <row r="45" ht="12.75" customHeight="1"/>
    <row r="46" ht="12.75" customHeight="1"/>
    <row r="47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8" ht="12.75" customHeight="1"/>
    <row r="59" ht="12.75" customHeight="1"/>
    <row r="60" ht="12.75" customHeight="1"/>
    <row r="61" ht="12.75" customHeight="1"/>
    <row r="64" ht="12.75" customHeight="1"/>
    <row r="65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4" ht="12.75" customHeight="1"/>
    <row r="75" ht="12.75" customHeight="1"/>
    <row r="76" ht="12.75" customHeight="1"/>
    <row r="77" ht="12.75" customHeight="1"/>
    <row r="79" ht="15.75" customHeight="1"/>
    <row r="80" ht="12.75" customHeight="1"/>
    <row r="81" ht="12.75" customHeight="1"/>
    <row r="86" ht="12.75" customHeight="1"/>
    <row r="87" ht="12.75" customHeight="1"/>
    <row r="88" ht="12.75" customHeight="1"/>
    <row r="92" ht="12.75" customHeight="1"/>
    <row r="93" ht="12.75" customHeight="1"/>
    <row r="94" ht="12.75" customHeight="1"/>
    <row r="95" ht="12.75" customHeight="1"/>
    <row r="101" ht="12.75" customHeight="1"/>
    <row r="102" ht="12.75" customHeight="1"/>
    <row r="106" ht="12.75" customHeight="1"/>
    <row r="107" ht="12.75" customHeight="1"/>
    <row r="108" ht="12.75" customHeight="1"/>
    <row r="111" ht="12.75" customHeight="1"/>
    <row r="112" ht="12.75" customHeight="1"/>
    <row r="123" ht="12.75" customHeight="1"/>
    <row r="126" ht="12.75" customHeight="1"/>
    <row r="127" ht="12.75" customHeight="1"/>
  </sheetData>
  <mergeCells count="6">
    <mergeCell ref="A1:Q1"/>
    <mergeCell ref="A2:D2"/>
    <mergeCell ref="AC4:AH4"/>
    <mergeCell ref="AB7:AC7"/>
    <mergeCell ref="AB9:AL9"/>
    <mergeCell ref="AC3:AI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>
    <tabColor rgb="FFFFFF00"/>
  </sheetPr>
  <dimension ref="A1:DD140"/>
  <sheetViews>
    <sheetView topLeftCell="AV22" zoomScale="70" zoomScaleNormal="70" workbookViewId="0">
      <selection activeCell="BH47" sqref="BH47"/>
    </sheetView>
  </sheetViews>
  <sheetFormatPr defaultRowHeight="12.75"/>
  <cols>
    <col min="1" max="1" width="9.85546875" customWidth="1"/>
    <col min="6" max="6" width="10.85546875" customWidth="1"/>
    <col min="7" max="7" width="10.28515625" customWidth="1"/>
    <col min="8" max="8" width="10.5703125" customWidth="1"/>
    <col min="9" max="9" width="10.85546875" bestFit="1" customWidth="1"/>
    <col min="10" max="10" width="8.7109375" customWidth="1"/>
    <col min="11" max="11" width="13.85546875" customWidth="1"/>
    <col min="12" max="13" width="13.140625" customWidth="1"/>
    <col min="14" max="14" width="15.5703125" customWidth="1"/>
    <col min="16" max="16" width="4.28515625" customWidth="1"/>
    <col min="18" max="18" width="7.7109375" customWidth="1"/>
    <col min="19" max="19" width="10" customWidth="1"/>
    <col min="21" max="21" width="7" customWidth="1"/>
    <col min="24" max="24" width="11.42578125" customWidth="1"/>
    <col min="26" max="26" width="15.5703125" customWidth="1"/>
    <col min="28" max="28" width="21" customWidth="1"/>
    <col min="29" max="29" width="8.42578125" customWidth="1"/>
    <col min="30" max="30" width="10.7109375" customWidth="1"/>
    <col min="33" max="33" width="10.140625" customWidth="1"/>
    <col min="34" max="34" width="6.140625" customWidth="1"/>
    <col min="35" max="35" width="6.5703125" customWidth="1"/>
    <col min="36" max="36" width="4.42578125" customWidth="1"/>
    <col min="38" max="38" width="9.140625" customWidth="1"/>
    <col min="44" max="44" width="11" customWidth="1"/>
    <col min="46" max="46" width="10.5703125" customWidth="1"/>
    <col min="47" max="47" width="11.85546875" customWidth="1"/>
    <col min="49" max="49" width="4" customWidth="1"/>
    <col min="50" max="50" width="7.140625" customWidth="1"/>
    <col min="51" max="51" width="4.140625" customWidth="1"/>
    <col min="52" max="52" width="7.140625" customWidth="1"/>
    <col min="54" max="54" width="20.85546875" customWidth="1"/>
    <col min="55" max="55" width="19.85546875" customWidth="1"/>
    <col min="56" max="56" width="1.42578125" customWidth="1"/>
    <col min="57" max="57" width="5.28515625" customWidth="1"/>
    <col min="58" max="58" width="7" customWidth="1"/>
    <col min="59" max="59" width="7.5703125" customWidth="1"/>
    <col min="60" max="60" width="14.28515625" customWidth="1"/>
    <col min="61" max="61" width="5.85546875" customWidth="1"/>
    <col min="62" max="62" width="1.42578125" customWidth="1"/>
    <col min="63" max="63" width="5.140625" customWidth="1"/>
    <col min="64" max="64" width="1.42578125" customWidth="1"/>
    <col min="65" max="65" width="6" customWidth="1"/>
    <col min="70" max="70" width="20.85546875" customWidth="1"/>
    <col min="71" max="71" width="19.85546875" customWidth="1"/>
    <col min="72" max="72" width="1.42578125" customWidth="1"/>
    <col min="73" max="74" width="7" customWidth="1"/>
    <col min="75" max="75" width="5.85546875" customWidth="1"/>
    <col min="76" max="76" width="1.42578125" customWidth="1"/>
    <col min="77" max="77" width="5.140625" customWidth="1"/>
    <col min="78" max="78" width="1.42578125" customWidth="1"/>
    <col min="79" max="79" width="6" customWidth="1"/>
    <col min="81" max="81" width="22.140625" customWidth="1"/>
    <col min="82" max="82" width="20.85546875" customWidth="1"/>
    <col min="83" max="83" width="2.140625" customWidth="1"/>
    <col min="97" max="97" width="20.85546875" customWidth="1"/>
    <col min="98" max="98" width="19.85546875" customWidth="1"/>
    <col min="99" max="99" width="1.42578125" customWidth="1"/>
    <col min="100" max="100" width="5.28515625" customWidth="1"/>
    <col min="101" max="101" width="7" customWidth="1"/>
    <col min="102" max="102" width="7.5703125" customWidth="1"/>
    <col min="103" max="103" width="14.28515625" customWidth="1"/>
    <col min="104" max="104" width="5.85546875" customWidth="1"/>
    <col min="105" max="105" width="1.42578125" customWidth="1"/>
    <col min="106" max="106" width="5.140625" customWidth="1"/>
    <col min="107" max="107" width="1.42578125" customWidth="1"/>
    <col min="108" max="108" width="6" customWidth="1"/>
  </cols>
  <sheetData>
    <row r="1" spans="1:41" ht="45.75" customHeight="1" thickBot="1">
      <c r="A1" s="43" t="s">
        <v>9</v>
      </c>
      <c r="B1" s="262" t="s">
        <v>0</v>
      </c>
      <c r="C1" s="263"/>
      <c r="D1" s="263"/>
      <c r="E1" s="264"/>
      <c r="F1" s="262" t="s">
        <v>1</v>
      </c>
      <c r="G1" s="263"/>
      <c r="H1" s="264"/>
      <c r="I1" s="265" t="s">
        <v>67</v>
      </c>
      <c r="J1" s="266"/>
      <c r="K1" s="2" t="s">
        <v>238</v>
      </c>
      <c r="L1" s="2"/>
      <c r="M1" s="43" t="s">
        <v>9</v>
      </c>
      <c r="N1" s="262" t="s">
        <v>0</v>
      </c>
      <c r="O1" s="264"/>
      <c r="P1" s="262" t="s">
        <v>1</v>
      </c>
      <c r="Q1" s="264"/>
      <c r="R1" s="270" t="s">
        <v>190</v>
      </c>
      <c r="S1" s="271"/>
      <c r="T1" s="272"/>
      <c r="U1" s="265" t="s">
        <v>191</v>
      </c>
      <c r="V1" s="273"/>
      <c r="W1" s="2"/>
      <c r="X1" s="205">
        <v>7</v>
      </c>
      <c r="Y1" s="205">
        <v>7</v>
      </c>
      <c r="Z1" s="206" t="s">
        <v>222</v>
      </c>
      <c r="AA1" s="207">
        <v>300</v>
      </c>
      <c r="AB1" s="207" t="s">
        <v>85</v>
      </c>
      <c r="AC1" s="207">
        <v>300</v>
      </c>
      <c r="AD1" s="205" t="s">
        <v>86</v>
      </c>
      <c r="AE1" s="207" t="s">
        <v>90</v>
      </c>
      <c r="AF1" s="207">
        <v>4</v>
      </c>
      <c r="AG1" s="207" t="s">
        <v>88</v>
      </c>
      <c r="AH1" s="207">
        <v>300</v>
      </c>
      <c r="AI1" s="208">
        <v>4</v>
      </c>
      <c r="AL1" s="143" t="s">
        <v>83</v>
      </c>
      <c r="AM1" t="s">
        <v>0</v>
      </c>
    </row>
    <row r="2" spans="1:41" ht="34.5" customHeight="1" thickBot="1">
      <c r="A2" s="3" t="e">
        <f>J34*I35+D44*C45+B56*F56+I58*I59+I61*I62+I65*E66+D50*I50+H67*G68+G69*J69+G70*J70</f>
        <v>#VALUE!</v>
      </c>
      <c r="B2" s="262">
        <f>$AA$1</f>
        <v>300</v>
      </c>
      <c r="C2" s="263"/>
      <c r="D2" s="263"/>
      <c r="E2" s="264"/>
      <c r="F2" s="262">
        <f>$AC$1</f>
        <v>300</v>
      </c>
      <c r="G2" s="263"/>
      <c r="H2" s="264"/>
      <c r="I2" s="267"/>
      <c r="J2" s="268"/>
      <c r="K2" s="5"/>
      <c r="L2" s="5"/>
      <c r="M2" s="3">
        <f>V36*U37+P48*O49+N55*R55+U57*U58+U60*U61+U63*U64+U67*U68+P73*U73+T75*S74+S77*V77+S78*V78</f>
        <v>7.9849999999999994</v>
      </c>
      <c r="N2" s="262">
        <f t="shared" ref="N2" si="0">$AA$1</f>
        <v>300</v>
      </c>
      <c r="O2" s="264"/>
      <c r="P2" s="262">
        <f t="shared" ref="P2" si="1">$AC$1</f>
        <v>300</v>
      </c>
      <c r="Q2" s="264"/>
      <c r="R2" s="262">
        <f>IF(Z2=3,2,1)</f>
        <v>1</v>
      </c>
      <c r="S2" s="263"/>
      <c r="T2" s="264"/>
      <c r="U2" s="274"/>
      <c r="V2" s="275"/>
      <c r="W2" s="2"/>
      <c r="X2" s="176" t="s">
        <v>80</v>
      </c>
      <c r="Y2" s="177" t="s">
        <v>92</v>
      </c>
      <c r="Z2">
        <f>MATCH(Z1,AL1:AL4,0)</f>
        <v>4</v>
      </c>
      <c r="AE2">
        <f>MATCH(AE1,AM1:AM2,0)</f>
        <v>2</v>
      </c>
      <c r="AF2" t="s">
        <v>78</v>
      </c>
      <c r="AH2" t="s">
        <v>224</v>
      </c>
      <c r="AI2" t="s">
        <v>223</v>
      </c>
      <c r="AL2" s="143" t="s">
        <v>84</v>
      </c>
      <c r="AM2" t="s">
        <v>90</v>
      </c>
    </row>
    <row r="3" spans="1:41" ht="25.5" customHeight="1">
      <c r="A3" s="2"/>
      <c r="B3" s="2"/>
      <c r="C3" s="4"/>
      <c r="D3" s="4"/>
      <c r="E3" s="4"/>
      <c r="F3" s="4"/>
      <c r="G3" s="4"/>
      <c r="H3" s="4"/>
      <c r="I3" s="29"/>
      <c r="J3" s="29"/>
      <c r="K3" s="5"/>
      <c r="L3" s="5"/>
      <c r="M3" s="2"/>
      <c r="N3" s="2"/>
      <c r="O3" s="4"/>
      <c r="P3" s="4"/>
      <c r="Q3" s="4"/>
      <c r="R3" s="4"/>
      <c r="S3" s="4"/>
      <c r="T3" s="4"/>
      <c r="U3" s="147"/>
      <c r="V3" s="147"/>
      <c r="W3" s="2"/>
      <c r="X3" s="2"/>
      <c r="AL3" s="2" t="s">
        <v>216</v>
      </c>
    </row>
    <row r="4" spans="1:41" ht="19.5" customHeight="1">
      <c r="A4" s="2"/>
      <c r="B4" s="2"/>
      <c r="C4" s="4"/>
      <c r="D4" s="4"/>
      <c r="E4" s="4"/>
      <c r="F4" s="4"/>
      <c r="G4" s="4"/>
      <c r="H4" s="4"/>
      <c r="I4" s="29"/>
      <c r="J4" s="29"/>
      <c r="K4" s="5"/>
      <c r="L4" s="5"/>
      <c r="M4" s="2"/>
      <c r="N4" s="2"/>
      <c r="O4" s="4"/>
      <c r="P4" s="4"/>
      <c r="Q4" s="4"/>
      <c r="R4" s="4"/>
      <c r="S4" s="4"/>
      <c r="T4" s="4"/>
      <c r="U4" s="147"/>
      <c r="V4" s="147"/>
      <c r="W4" s="2"/>
      <c r="X4" s="2"/>
      <c r="AL4" t="s">
        <v>222</v>
      </c>
    </row>
    <row r="5" spans="1:41" ht="19.5" customHeight="1">
      <c r="A5" s="31" t="s">
        <v>10</v>
      </c>
      <c r="B5" s="32"/>
      <c r="C5" s="33"/>
      <c r="D5" s="33"/>
      <c r="E5" s="34"/>
      <c r="F5" s="34"/>
      <c r="G5" s="32"/>
      <c r="H5" s="33"/>
      <c r="I5" s="35">
        <v>125</v>
      </c>
      <c r="J5" s="34">
        <f>ROUNDDOWN(((B2-150)/125),0)+1</f>
        <v>2</v>
      </c>
      <c r="K5" s="5"/>
      <c r="L5" s="5"/>
      <c r="M5" s="31" t="s">
        <v>10</v>
      </c>
      <c r="N5" s="32"/>
      <c r="O5" s="33"/>
      <c r="P5" s="33"/>
      <c r="Q5" s="34"/>
      <c r="R5" s="34"/>
      <c r="S5" s="32"/>
      <c r="T5" s="33"/>
      <c r="U5" s="35">
        <v>125</v>
      </c>
      <c r="V5" s="34">
        <f>ROUNDDOWN(((N2/2-145)/125),0)+1</f>
        <v>1</v>
      </c>
      <c r="W5" s="2"/>
      <c r="X5" s="2"/>
      <c r="AF5" s="178"/>
      <c r="AI5" s="2"/>
      <c r="AJ5" s="2"/>
      <c r="AK5" s="2"/>
      <c r="AL5" s="2"/>
      <c r="AM5" s="2"/>
      <c r="AN5" s="2"/>
      <c r="AO5" s="2"/>
    </row>
    <row r="6" spans="1:41" ht="14.25" customHeight="1">
      <c r="A6" s="31" t="s">
        <v>10</v>
      </c>
      <c r="B6" s="32"/>
      <c r="C6" s="32"/>
      <c r="D6" s="33"/>
      <c r="E6" s="34"/>
      <c r="F6" s="34"/>
      <c r="G6" s="32"/>
      <c r="H6" s="33"/>
      <c r="I6" s="34">
        <v>150</v>
      </c>
      <c r="J6" s="34">
        <f>ROUNDDOWN(((B2-175)/150),0)+1</f>
        <v>1</v>
      </c>
      <c r="K6" s="5"/>
      <c r="L6" s="5"/>
      <c r="M6" s="31" t="s">
        <v>10</v>
      </c>
      <c r="N6" s="32"/>
      <c r="O6" s="32"/>
      <c r="P6" s="33"/>
      <c r="Q6" s="34"/>
      <c r="R6" s="34"/>
      <c r="S6" s="32"/>
      <c r="T6" s="33"/>
      <c r="U6" s="34">
        <v>150</v>
      </c>
      <c r="V6" s="34">
        <f>ROUNDDOWN(((N2/2-170)/150),0)+1</f>
        <v>1</v>
      </c>
      <c r="W6" s="2"/>
      <c r="X6" s="2"/>
      <c r="AI6" s="2"/>
      <c r="AJ6" s="2"/>
      <c r="AK6" s="2"/>
      <c r="AL6" s="2"/>
      <c r="AM6" s="2"/>
      <c r="AN6" s="2"/>
      <c r="AO6" s="2"/>
    </row>
    <row r="7" spans="1:41" ht="19.5" customHeight="1">
      <c r="A7" s="31" t="s">
        <v>10</v>
      </c>
      <c r="B7" s="32"/>
      <c r="C7" s="32"/>
      <c r="D7" s="33"/>
      <c r="E7" s="34"/>
      <c r="F7" s="34"/>
      <c r="G7" s="32"/>
      <c r="H7" s="33"/>
      <c r="I7" s="34">
        <v>175</v>
      </c>
      <c r="J7" s="34">
        <f>ROUNDDOWN(((B2-200)/175),0)+1</f>
        <v>1</v>
      </c>
      <c r="K7" s="5"/>
      <c r="L7" s="5"/>
      <c r="M7" s="31" t="s">
        <v>10</v>
      </c>
      <c r="N7" s="32"/>
      <c r="O7" s="32"/>
      <c r="P7" s="33"/>
      <c r="Q7" s="34"/>
      <c r="R7" s="34"/>
      <c r="S7" s="32"/>
      <c r="T7" s="33"/>
      <c r="U7" s="34">
        <v>175</v>
      </c>
      <c r="V7" s="34">
        <f>ROUNDDOWN(((N2/2-195)/175),0)+1</f>
        <v>1</v>
      </c>
      <c r="W7" s="2"/>
      <c r="X7" s="2"/>
      <c r="AI7" s="2"/>
      <c r="AJ7" s="2"/>
      <c r="AK7" s="2"/>
      <c r="AL7" s="2"/>
      <c r="AM7" s="2"/>
      <c r="AN7" s="2"/>
      <c r="AO7" s="2"/>
    </row>
    <row r="8" spans="1:41" ht="19.5" customHeight="1">
      <c r="A8" s="36" t="s">
        <v>11</v>
      </c>
      <c r="B8" s="37"/>
      <c r="C8" s="37"/>
      <c r="D8" s="38"/>
      <c r="E8" s="39"/>
      <c r="F8" s="39"/>
      <c r="G8" s="37"/>
      <c r="H8">
        <f>IF(B2&gt;200,IF((B2-125*J5-25)&gt;=0,(B2-125*J5-25),1000),IF((B2-150*J5)&gt;=0,(B2-150*J5),1000))</f>
        <v>25</v>
      </c>
      <c r="I8" s="39">
        <f>IF(H8&gt;=0,H8,1000)</f>
        <v>25</v>
      </c>
      <c r="K8" s="5"/>
      <c r="L8" s="5"/>
      <c r="M8" s="36" t="s">
        <v>11</v>
      </c>
      <c r="N8" s="37"/>
      <c r="O8" s="37"/>
      <c r="P8" s="38"/>
      <c r="Q8" s="39"/>
      <c r="R8" s="39"/>
      <c r="S8" s="37"/>
      <c r="T8">
        <f>IF(N2/2&gt;200,IF((N2/2-125*V5-25)&gt;=0,(N2/2-125*V5-25),1000),IF((N2/2-150*V5)&gt;=0,(N2/2-150*V5),1000))</f>
        <v>0</v>
      </c>
      <c r="U8" s="39">
        <f>IF(T8&gt;=0,T8,1000)</f>
        <v>0</v>
      </c>
      <c r="W8" s="2"/>
      <c r="X8" s="2"/>
      <c r="AI8" s="2"/>
      <c r="AJ8" s="2"/>
      <c r="AK8" s="2"/>
      <c r="AL8" s="2"/>
      <c r="AM8" s="2"/>
      <c r="AN8" s="2"/>
      <c r="AO8" s="2"/>
    </row>
    <row r="9" spans="1:41" ht="19.5" customHeight="1">
      <c r="A9" s="36" t="s">
        <v>11</v>
      </c>
      <c r="B9" s="37"/>
      <c r="C9" s="37"/>
      <c r="D9" s="38"/>
      <c r="E9" s="39"/>
      <c r="F9" s="39"/>
      <c r="G9" s="37"/>
      <c r="H9">
        <f>IF(B2&gt;200,IF((B2-150*J6-25)&gt;=0,(B2-150*J6-25),1000),IF((B2-175*J6)&gt;=0,(B2-175*J6),1000))</f>
        <v>125</v>
      </c>
      <c r="I9" s="39">
        <f>IF(H9&gt;=0,H9,1000)</f>
        <v>125</v>
      </c>
      <c r="K9" s="5"/>
      <c r="L9" s="5"/>
      <c r="M9" s="36" t="s">
        <v>11</v>
      </c>
      <c r="N9" s="37"/>
      <c r="O9" s="37"/>
      <c r="P9" s="38"/>
      <c r="Q9" s="39"/>
      <c r="R9" s="39"/>
      <c r="S9" s="37"/>
      <c r="T9">
        <f>IF(N2/2&gt;200,IF((N2/2-150*V6-25)&gt;=0,(N2/2-150*V6-25),1000),IF((N2/2-175*V6)&gt;=0,(N2/2-175*V6),1000))</f>
        <v>1000</v>
      </c>
      <c r="U9" s="39">
        <f>IF(T9&gt;=0,T9,1000)</f>
        <v>1000</v>
      </c>
      <c r="W9" s="2"/>
      <c r="X9" s="2"/>
      <c r="AI9" s="2"/>
      <c r="AJ9" s="2"/>
      <c r="AK9" s="2"/>
      <c r="AL9" s="2"/>
      <c r="AM9" s="2"/>
      <c r="AN9" s="2"/>
      <c r="AO9" s="2"/>
    </row>
    <row r="10" spans="1:41" ht="19.5" customHeight="1">
      <c r="A10" s="36" t="s">
        <v>11</v>
      </c>
      <c r="B10" s="37"/>
      <c r="C10" s="37"/>
      <c r="D10" s="38"/>
      <c r="E10" s="39"/>
      <c r="F10" s="39"/>
      <c r="G10" s="37"/>
      <c r="H10">
        <f>IF(B2&gt;200,IF((B2-175*J7-25)&gt;=0,(B2-175*J7-25),1000),IF((B2-200*J7)&gt;=0,(B2-200*J7),1000))</f>
        <v>100</v>
      </c>
      <c r="I10" s="39">
        <f>IF(H10&gt;=0,H10,1000)</f>
        <v>100</v>
      </c>
      <c r="K10" s="5"/>
      <c r="L10" s="5"/>
      <c r="M10" s="36" t="s">
        <v>11</v>
      </c>
      <c r="N10" s="37"/>
      <c r="O10" s="37"/>
      <c r="P10" s="38"/>
      <c r="Q10" s="39"/>
      <c r="R10" s="39"/>
      <c r="S10" s="37"/>
      <c r="T10">
        <f>IF(N2/2&gt;200,IF((N2/2-175*V7-25)&gt;=0,(N2/2-175*V7-25),1000),IF((N2/2-200*V7)&gt;=0,(N2/2-200*V7),1000))</f>
        <v>1000</v>
      </c>
      <c r="U10" s="39">
        <f>IF(T10&gt;=0,T10,1000)</f>
        <v>1000</v>
      </c>
      <c r="W10" s="2"/>
      <c r="X10" s="2"/>
      <c r="AI10" s="2"/>
      <c r="AJ10" s="2"/>
      <c r="AK10" s="2"/>
      <c r="AL10" s="2"/>
      <c r="AM10" s="2"/>
      <c r="AN10" s="2"/>
      <c r="AO10" s="2"/>
    </row>
    <row r="11" spans="1:41" ht="15" customHeight="1">
      <c r="A11" s="30"/>
      <c r="B11" s="2"/>
      <c r="C11" s="2"/>
      <c r="E11" s="3"/>
      <c r="F11" s="3"/>
      <c r="G11" s="2"/>
      <c r="I11" s="41">
        <f>MIN(I8:I10)</f>
        <v>25</v>
      </c>
      <c r="J11" s="4"/>
      <c r="K11" s="5"/>
      <c r="L11" s="5"/>
      <c r="M11" s="30"/>
      <c r="N11" s="2"/>
      <c r="O11" s="2"/>
      <c r="Q11" s="3"/>
      <c r="R11" s="3"/>
      <c r="S11" s="2"/>
      <c r="U11" s="41">
        <f>MIN(U8:U10)</f>
        <v>0</v>
      </c>
      <c r="V11" s="4"/>
      <c r="W11" s="2"/>
      <c r="X11" s="2"/>
      <c r="AI11" s="2"/>
      <c r="AJ11" s="2"/>
      <c r="AK11" s="2"/>
      <c r="AL11" s="2"/>
      <c r="AM11" s="2"/>
      <c r="AN11" s="2"/>
      <c r="AO11" s="2"/>
    </row>
    <row r="12" spans="1:41" ht="13.5" customHeight="1">
      <c r="A12" s="31" t="s">
        <v>12</v>
      </c>
      <c r="B12" s="32"/>
      <c r="C12" s="32"/>
      <c r="D12" s="33"/>
      <c r="E12" s="34"/>
      <c r="F12" s="34"/>
      <c r="G12" s="34">
        <f>IF(I11=I10,J7,IF(I11=I9,J6,IF(I11=I8,J5,0)))</f>
        <v>2</v>
      </c>
      <c r="H12" s="33"/>
      <c r="I12" s="32"/>
      <c r="J12" s="35"/>
      <c r="K12" s="5"/>
      <c r="L12" s="5"/>
      <c r="M12" s="31" t="s">
        <v>12</v>
      </c>
      <c r="N12" s="32"/>
      <c r="O12" s="32"/>
      <c r="P12" s="33"/>
      <c r="Q12" s="34"/>
      <c r="R12" s="34"/>
      <c r="S12" s="34">
        <f>IF(U11=U10,V7,IF(U11=U9,V6,IF(U11=U8,V5,0)))</f>
        <v>1</v>
      </c>
      <c r="T12" s="33"/>
      <c r="U12" s="32"/>
      <c r="V12" s="35"/>
      <c r="W12" s="2"/>
      <c r="X12" s="2"/>
      <c r="AI12" s="2"/>
      <c r="AJ12" s="2"/>
      <c r="AK12" s="2"/>
      <c r="AL12" s="2"/>
      <c r="AM12" s="2"/>
      <c r="AN12" s="2"/>
      <c r="AO12" s="2"/>
    </row>
    <row r="13" spans="1:41" ht="19.5" customHeight="1">
      <c r="A13" s="36" t="s">
        <v>13</v>
      </c>
      <c r="B13" s="37"/>
      <c r="C13" s="37"/>
      <c r="D13" s="38"/>
      <c r="E13" s="39"/>
      <c r="F13" s="39"/>
      <c r="G13" s="39">
        <f>IF(I11=I10,I7,IF(I11=I9,I6,IF(I11=I8,I5,0)))</f>
        <v>125</v>
      </c>
      <c r="H13" s="38"/>
      <c r="I13" s="37"/>
      <c r="J13" s="40"/>
      <c r="K13" s="5"/>
      <c r="M13" s="36" t="s">
        <v>13</v>
      </c>
      <c r="N13" s="37"/>
      <c r="O13" s="37"/>
      <c r="P13" s="38"/>
      <c r="Q13" s="39"/>
      <c r="R13" s="39"/>
      <c r="S13" s="39">
        <f>IF(U11=U10,U7,IF(U11=U9,U6,IF(U11=U8,U5,0)))</f>
        <v>125</v>
      </c>
      <c r="T13" s="38"/>
      <c r="U13" s="37"/>
      <c r="V13" s="40"/>
      <c r="W13" s="2"/>
      <c r="X13" s="2"/>
      <c r="AI13" s="2"/>
      <c r="AJ13" s="2"/>
      <c r="AK13" s="2"/>
      <c r="AL13" s="2"/>
      <c r="AM13" s="2"/>
      <c r="AN13" s="2"/>
      <c r="AO13" s="2"/>
    </row>
    <row r="14" spans="1:41" ht="19.5" customHeight="1">
      <c r="A14" s="44"/>
      <c r="B14" s="45"/>
      <c r="C14" s="45"/>
      <c r="D14" s="46"/>
      <c r="E14" s="47"/>
      <c r="F14" s="47"/>
      <c r="G14" s="47"/>
      <c r="H14" s="46"/>
      <c r="I14" s="45"/>
      <c r="J14" s="48"/>
      <c r="K14" s="49"/>
      <c r="M14" s="44"/>
      <c r="N14" s="45"/>
      <c r="O14" s="45"/>
      <c r="P14" s="46"/>
      <c r="Q14" s="47"/>
      <c r="R14" s="47"/>
      <c r="S14" s="47"/>
      <c r="T14" s="46"/>
      <c r="U14" s="45"/>
      <c r="V14" s="48"/>
      <c r="W14" s="2"/>
      <c r="X14" s="2"/>
      <c r="AI14" s="2"/>
      <c r="AJ14" s="2"/>
      <c r="AK14" s="2"/>
      <c r="AL14" s="2"/>
      <c r="AM14" s="2"/>
      <c r="AN14" s="2"/>
      <c r="AO14" s="2"/>
    </row>
    <row r="15" spans="1:41" ht="19.5" customHeight="1">
      <c r="A15" s="55" t="s">
        <v>16</v>
      </c>
      <c r="B15" s="42"/>
      <c r="C15" s="50"/>
      <c r="D15" s="50"/>
      <c r="E15" s="50"/>
      <c r="F15" s="50">
        <f>IF(B2&gt;=251,IF(B2&gt;=401,IF(B2&gt;=501,IF(B2&gt;=601,IF(B2&gt;=801,IF(B2&gt;=1001,IF(B2&gt;=1201,IF(B2&gt;=1401,10,9),8),7),6),5),4),3),2)</f>
        <v>3</v>
      </c>
      <c r="G15" s="50"/>
      <c r="H15" s="51"/>
      <c r="I15" s="52"/>
      <c r="J15" s="52"/>
      <c r="K15" s="49"/>
      <c r="M15" s="55" t="s">
        <v>16</v>
      </c>
      <c r="N15" s="42"/>
      <c r="O15" s="50"/>
      <c r="P15" s="50"/>
      <c r="Q15" s="50"/>
      <c r="R15" s="50">
        <f>IF(N2&gt;=251,IF(N2&gt;=401,IF(N2&gt;=501,IF(N2&gt;=601,IF(N2&gt;=801,IF(N2&gt;=1001,IF(N2&gt;=1201,IF(N2&gt;=1401,10,9),8),7),6),5),4),3),2)</f>
        <v>3</v>
      </c>
      <c r="S15" s="50"/>
      <c r="T15" s="51"/>
      <c r="U15" s="52"/>
      <c r="V15" s="52"/>
      <c r="W15" s="2"/>
      <c r="X15" s="2"/>
      <c r="AI15" s="2"/>
      <c r="AJ15" s="2"/>
      <c r="AK15" s="2"/>
      <c r="AL15" s="2"/>
      <c r="AM15" s="2"/>
      <c r="AN15" s="2"/>
      <c r="AO15" s="2"/>
    </row>
    <row r="16" spans="1:41" ht="19.5" customHeight="1">
      <c r="A16" s="56" t="s">
        <v>17</v>
      </c>
      <c r="B16" s="57"/>
      <c r="C16" s="53"/>
      <c r="D16" s="53"/>
      <c r="E16" s="53"/>
      <c r="F16" s="53">
        <f>IF(F2&gt;=251,IF(F2&gt;=401,IF(F2&gt;=501,IF(F2&gt;=601,IF(F2&gt;=801,IF(F2&gt;=1001,IF(F2&gt;=1201,IF(F2&gt;=1401,10,9),8),7),6),5),4),3),2)</f>
        <v>3</v>
      </c>
      <c r="G16" s="53"/>
      <c r="H16" s="54"/>
      <c r="I16" s="52"/>
      <c r="J16" s="52"/>
      <c r="K16" s="49"/>
      <c r="M16" s="56" t="s">
        <v>17</v>
      </c>
      <c r="N16" s="57"/>
      <c r="O16" s="53"/>
      <c r="P16" s="53"/>
      <c r="Q16" s="53"/>
      <c r="R16" s="53">
        <f>IF(P2&gt;=251,IF(P2&gt;=401,IF(P2&gt;=501,IF(P2&gt;=601,IF(P2&gt;=801,IF(P2&gt;=1001,IF(P2&gt;=1201,IF(P2&gt;=1401,10,9),8),7),6),5),4),3),2)</f>
        <v>3</v>
      </c>
      <c r="S16" s="53"/>
      <c r="T16" s="54"/>
      <c r="U16" s="52"/>
      <c r="V16" s="52"/>
      <c r="W16" s="2"/>
      <c r="X16" s="2"/>
      <c r="AI16" s="2"/>
      <c r="AJ16" s="2"/>
      <c r="AK16" s="2"/>
      <c r="AL16" s="2"/>
      <c r="AM16" s="2"/>
      <c r="AN16" s="2"/>
      <c r="AO16" s="2"/>
    </row>
    <row r="17" spans="1:108" ht="19.5" customHeight="1">
      <c r="A17" s="44"/>
      <c r="B17" s="45"/>
      <c r="C17" s="45"/>
      <c r="D17" s="46"/>
      <c r="E17" s="47"/>
      <c r="F17" s="47"/>
      <c r="G17" s="47"/>
      <c r="H17" s="46"/>
      <c r="I17" s="45"/>
      <c r="J17" s="48"/>
      <c r="K17" s="49"/>
      <c r="M17" s="44"/>
      <c r="N17" s="45"/>
      <c r="O17" s="45"/>
      <c r="P17" s="46"/>
      <c r="Q17" s="47"/>
      <c r="R17" s="47"/>
      <c r="S17" s="47"/>
      <c r="T17" s="46"/>
      <c r="U17" s="45"/>
      <c r="V17" s="48"/>
      <c r="W17" s="2"/>
      <c r="X17" s="2"/>
      <c r="AI17" s="2"/>
      <c r="AJ17" s="2"/>
      <c r="AK17" s="2"/>
      <c r="AL17" s="2"/>
      <c r="AM17" s="2"/>
      <c r="AN17" s="2"/>
      <c r="AO17" s="2"/>
    </row>
    <row r="18" spans="1:108" ht="19.5" customHeight="1">
      <c r="A18" s="44"/>
      <c r="B18" s="45"/>
      <c r="C18" s="45"/>
      <c r="D18" s="46"/>
      <c r="E18" s="47"/>
      <c r="F18" s="47"/>
      <c r="G18" s="47"/>
      <c r="H18" s="46"/>
      <c r="I18" s="47"/>
      <c r="J18" s="48"/>
      <c r="K18" s="49"/>
      <c r="M18" s="44"/>
      <c r="N18" s="45"/>
      <c r="O18" s="45"/>
      <c r="P18" s="46"/>
      <c r="Q18" s="47"/>
      <c r="R18" s="47" t="s">
        <v>192</v>
      </c>
      <c r="S18" s="47"/>
      <c r="T18" s="46"/>
      <c r="U18" s="47" t="s">
        <v>193</v>
      </c>
      <c r="V18" s="48"/>
      <c r="W18" s="2"/>
      <c r="X18" s="2"/>
      <c r="AI18" s="2"/>
      <c r="AJ18" s="2"/>
      <c r="AK18" s="2"/>
      <c r="AL18" s="2"/>
      <c r="AM18" s="2"/>
      <c r="AN18" s="2"/>
      <c r="AO18" s="2"/>
    </row>
    <row r="19" spans="1:108" ht="19.5" customHeight="1">
      <c r="A19" s="44"/>
      <c r="B19" s="45"/>
      <c r="C19" s="13" t="s">
        <v>28</v>
      </c>
      <c r="D19" s="13" t="s">
        <v>29</v>
      </c>
      <c r="E19" s="13" t="s">
        <v>30</v>
      </c>
      <c r="F19" s="47" t="s">
        <v>39</v>
      </c>
      <c r="G19" s="47"/>
      <c r="H19" s="46"/>
      <c r="I19" s="45"/>
      <c r="J19" s="48"/>
      <c r="K19" s="49"/>
      <c r="M19" s="44"/>
      <c r="N19" s="45"/>
      <c r="O19" s="13" t="s">
        <v>28</v>
      </c>
      <c r="P19" s="13" t="s">
        <v>29</v>
      </c>
      <c r="Q19" s="13" t="s">
        <v>30</v>
      </c>
      <c r="R19" s="47" t="s">
        <v>39</v>
      </c>
      <c r="S19" s="47"/>
      <c r="T19" s="46"/>
      <c r="U19" s="45"/>
      <c r="V19" s="48"/>
      <c r="W19" s="2"/>
      <c r="X19" s="2"/>
      <c r="AI19" s="2"/>
      <c r="AJ19" s="2"/>
      <c r="AK19" s="2"/>
      <c r="AL19" s="2"/>
      <c r="AM19" s="2"/>
      <c r="AN19" s="2"/>
      <c r="AO19" s="2"/>
    </row>
    <row r="20" spans="1:108" ht="19.5" customHeight="1">
      <c r="A20" s="44">
        <v>125</v>
      </c>
      <c r="B20" s="45"/>
      <c r="C20" s="47">
        <v>114</v>
      </c>
      <c r="D20" s="47">
        <v>32</v>
      </c>
      <c r="E20" s="47">
        <v>155</v>
      </c>
      <c r="F20" s="47">
        <v>95</v>
      </c>
      <c r="G20" s="47"/>
      <c r="H20" s="13"/>
      <c r="I20" s="45">
        <f>ROUNDDOWN((F2-24)/100,0)+1</f>
        <v>3</v>
      </c>
      <c r="J20" s="48"/>
      <c r="K20" s="49"/>
      <c r="M20" s="44">
        <v>125</v>
      </c>
      <c r="N20" s="45"/>
      <c r="O20" s="47">
        <v>114</v>
      </c>
      <c r="P20" s="47">
        <v>32</v>
      </c>
      <c r="Q20" s="47">
        <v>155</v>
      </c>
      <c r="R20" s="47">
        <v>95</v>
      </c>
      <c r="S20" s="47"/>
      <c r="T20" s="13"/>
      <c r="U20" s="45">
        <f>ROUNDDOWN((P2-24)/100,0)+1</f>
        <v>3</v>
      </c>
      <c r="V20" s="48"/>
      <c r="W20" s="2"/>
      <c r="X20" s="2"/>
      <c r="AI20" s="2"/>
      <c r="AJ20" s="2"/>
      <c r="AK20" s="2"/>
      <c r="AL20" s="2"/>
      <c r="AM20" s="2"/>
      <c r="AN20" s="2"/>
      <c r="AO20" s="2"/>
    </row>
    <row r="21" spans="1:108" ht="19.5" customHeight="1">
      <c r="A21" s="44">
        <v>150</v>
      </c>
      <c r="B21" s="45"/>
      <c r="C21" s="47">
        <v>135</v>
      </c>
      <c r="D21" s="61">
        <v>38</v>
      </c>
      <c r="E21" s="47">
        <v>182</v>
      </c>
      <c r="F21" s="47">
        <v>120</v>
      </c>
      <c r="G21" s="47"/>
      <c r="I21" s="45"/>
      <c r="J21" s="48"/>
      <c r="K21" s="49"/>
      <c r="M21" s="44">
        <v>150</v>
      </c>
      <c r="N21" s="45"/>
      <c r="O21" s="47">
        <v>135</v>
      </c>
      <c r="P21" s="61">
        <v>38</v>
      </c>
      <c r="Q21" s="47">
        <v>182</v>
      </c>
      <c r="R21" s="47">
        <v>120</v>
      </c>
      <c r="S21" s="47"/>
      <c r="U21" s="45"/>
      <c r="V21" s="48"/>
      <c r="W21" s="2"/>
      <c r="X21" s="2"/>
      <c r="AI21" s="2"/>
      <c r="AJ21" s="2"/>
      <c r="AK21" s="2"/>
      <c r="AL21" s="2"/>
      <c r="AM21" s="2"/>
      <c r="AN21" s="2"/>
      <c r="AO21" s="2"/>
    </row>
    <row r="22" spans="1:108" ht="19.5" customHeight="1">
      <c r="A22" s="44">
        <v>175</v>
      </c>
      <c r="B22" s="45"/>
      <c r="C22" s="47">
        <v>155</v>
      </c>
      <c r="D22" s="61">
        <v>45</v>
      </c>
      <c r="E22" s="47">
        <v>209</v>
      </c>
      <c r="F22" s="47">
        <v>145</v>
      </c>
      <c r="G22" s="47"/>
      <c r="I22" s="45"/>
      <c r="J22" s="48"/>
      <c r="K22" s="49"/>
      <c r="M22" s="44">
        <v>175</v>
      </c>
      <c r="N22" s="45"/>
      <c r="O22" s="47">
        <v>155</v>
      </c>
      <c r="P22" s="61">
        <v>45</v>
      </c>
      <c r="Q22" s="47">
        <v>209</v>
      </c>
      <c r="R22" s="47">
        <v>145</v>
      </c>
      <c r="S22" s="47"/>
      <c r="U22" s="45"/>
      <c r="V22" s="48"/>
      <c r="W22" s="2"/>
      <c r="X22" s="2"/>
      <c r="AI22" s="2"/>
      <c r="AJ22" s="2"/>
      <c r="AK22" s="2"/>
      <c r="AL22" s="2"/>
      <c r="AM22" s="2"/>
      <c r="AN22" s="2"/>
      <c r="AO22" s="2"/>
      <c r="BP22">
        <v>1</v>
      </c>
      <c r="BQ22">
        <v>2</v>
      </c>
      <c r="BR22">
        <v>3</v>
      </c>
      <c r="BS22">
        <v>4</v>
      </c>
      <c r="BT22">
        <v>5</v>
      </c>
      <c r="BU22">
        <v>6</v>
      </c>
      <c r="BV22">
        <v>7</v>
      </c>
      <c r="BW22">
        <v>8</v>
      </c>
      <c r="BX22">
        <v>9</v>
      </c>
      <c r="BY22">
        <v>10</v>
      </c>
      <c r="BZ22">
        <v>11</v>
      </c>
      <c r="CA22">
        <v>12</v>
      </c>
      <c r="CQ22">
        <v>1</v>
      </c>
      <c r="CR22">
        <v>2</v>
      </c>
      <c r="CS22">
        <v>3</v>
      </c>
      <c r="CT22">
        <v>4</v>
      </c>
      <c r="CU22">
        <v>5</v>
      </c>
      <c r="CV22">
        <v>6</v>
      </c>
      <c r="CW22">
        <v>7</v>
      </c>
      <c r="CX22">
        <v>8</v>
      </c>
      <c r="CY22">
        <v>9</v>
      </c>
      <c r="CZ22">
        <v>10</v>
      </c>
      <c r="DA22">
        <v>11</v>
      </c>
      <c r="DB22">
        <v>12</v>
      </c>
      <c r="DC22">
        <v>13</v>
      </c>
      <c r="DD22">
        <v>14</v>
      </c>
    </row>
    <row r="23" spans="1:108" ht="19.5" customHeight="1">
      <c r="B23" s="2"/>
      <c r="C23" s="2"/>
      <c r="E23" s="3"/>
      <c r="F23" s="3"/>
      <c r="G23" s="2"/>
      <c r="I23" s="2"/>
      <c r="J23" s="4"/>
      <c r="K23" s="5"/>
      <c r="L23" s="5"/>
      <c r="N23" s="2"/>
      <c r="O23" s="2"/>
      <c r="Q23" s="3"/>
      <c r="R23" s="3"/>
      <c r="S23" s="2"/>
      <c r="U23" s="2"/>
      <c r="V23" s="4"/>
      <c r="W23" s="2"/>
      <c r="X23" s="2"/>
      <c r="AD23" t="s">
        <v>235</v>
      </c>
      <c r="AE23">
        <f>IF(OR($Z$2=1,$Z$2=2),1,0)</f>
        <v>0</v>
      </c>
    </row>
    <row r="24" spans="1:108" ht="15.75" customHeight="1" thickBot="1">
      <c r="B24" s="2"/>
      <c r="C24" s="2"/>
      <c r="D24" s="3"/>
      <c r="E24" s="3"/>
      <c r="F24" s="3"/>
      <c r="G24" s="2"/>
      <c r="H24" s="2"/>
      <c r="I24" s="2"/>
      <c r="J24" s="2"/>
      <c r="K24" s="5"/>
      <c r="L24" s="5"/>
      <c r="N24" s="2"/>
      <c r="O24" s="2"/>
      <c r="P24" s="3"/>
      <c r="Q24" s="3"/>
      <c r="R24" s="3"/>
      <c r="S24" s="2"/>
      <c r="T24" s="2"/>
      <c r="U24" s="2"/>
      <c r="V24" s="2"/>
      <c r="W24" s="2"/>
      <c r="X24" s="2"/>
      <c r="BB24" t="s">
        <v>240</v>
      </c>
      <c r="BP24" t="s">
        <v>251</v>
      </c>
      <c r="CC24" s="229" t="s">
        <v>249</v>
      </c>
      <c r="CD24" s="229"/>
      <c r="CE24" s="229"/>
      <c r="CF24" s="229"/>
      <c r="CG24" s="229"/>
      <c r="CH24" s="229"/>
      <c r="CI24" s="229"/>
      <c r="CJ24" s="229"/>
      <c r="CK24" s="229"/>
      <c r="CL24" s="229"/>
      <c r="CM24" s="229"/>
      <c r="CN24" s="229"/>
      <c r="CQ24" t="s">
        <v>261</v>
      </c>
    </row>
    <row r="25" spans="1:108" ht="20.25" customHeight="1">
      <c r="A25" s="28" t="s">
        <v>65</v>
      </c>
      <c r="B25" s="8"/>
      <c r="C25" s="8"/>
      <c r="D25" s="8"/>
      <c r="E25" s="22" t="s">
        <v>2</v>
      </c>
      <c r="F25" s="8"/>
      <c r="G25" s="8"/>
      <c r="H25" s="13" t="s">
        <v>18</v>
      </c>
      <c r="I25" s="4">
        <v>1.5</v>
      </c>
      <c r="J25" s="23" t="s">
        <v>4</v>
      </c>
      <c r="K25" s="5"/>
      <c r="L25" s="5"/>
      <c r="M25" s="15"/>
      <c r="N25" s="8"/>
      <c r="O25" s="8"/>
      <c r="P25" s="8"/>
      <c r="Q25" s="8"/>
      <c r="R25" s="8"/>
      <c r="S25" s="8"/>
      <c r="T25" s="28" t="s">
        <v>194</v>
      </c>
      <c r="U25" s="8"/>
      <c r="V25" s="11"/>
      <c r="W25" s="2"/>
      <c r="X25" s="2"/>
      <c r="AE25" s="235" t="s">
        <v>75</v>
      </c>
      <c r="AF25" s="235"/>
      <c r="AG25" s="235"/>
      <c r="AH25" s="235"/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/>
      <c r="BB25" s="229" t="s">
        <v>156</v>
      </c>
      <c r="BC25" s="229" t="s">
        <v>157</v>
      </c>
      <c r="BD25" s="229"/>
      <c r="BE25" s="229"/>
      <c r="BF25" s="229" t="s">
        <v>125</v>
      </c>
      <c r="BG25" s="229" t="s">
        <v>160</v>
      </c>
      <c r="BH25" s="229"/>
      <c r="BI25" s="229" t="s">
        <v>158</v>
      </c>
      <c r="BJ25" s="229"/>
      <c r="BK25" s="229"/>
      <c r="BL25" s="229"/>
      <c r="BM25" s="229"/>
      <c r="BP25" s="232" t="s">
        <v>80</v>
      </c>
      <c r="BQ25" s="233" t="s">
        <v>92</v>
      </c>
      <c r="BR25" s="229" t="s">
        <v>156</v>
      </c>
      <c r="BS25" s="229" t="s">
        <v>157</v>
      </c>
      <c r="BT25" s="229"/>
      <c r="BU25" s="229"/>
      <c r="BV25" s="229" t="s">
        <v>125</v>
      </c>
      <c r="BW25" s="229" t="s">
        <v>158</v>
      </c>
      <c r="BX25" s="229"/>
      <c r="BY25" s="229"/>
      <c r="BZ25" s="229"/>
      <c r="CA25" s="229"/>
      <c r="CC25" s="230" t="s">
        <v>156</v>
      </c>
      <c r="CD25" s="230" t="s">
        <v>157</v>
      </c>
      <c r="CE25" s="230"/>
      <c r="CF25" s="230"/>
      <c r="CG25" s="230" t="s">
        <v>125</v>
      </c>
      <c r="CH25" s="230" t="s">
        <v>160</v>
      </c>
      <c r="CI25" s="230"/>
      <c r="CJ25" s="230" t="s">
        <v>184</v>
      </c>
      <c r="CK25" s="230"/>
      <c r="CL25" s="231" t="s">
        <v>158</v>
      </c>
      <c r="CQ25" s="203" t="s">
        <v>80</v>
      </c>
      <c r="CR25" s="204" t="s">
        <v>92</v>
      </c>
      <c r="CS25" s="198" t="s">
        <v>156</v>
      </c>
      <c r="CT25" s="224" t="s">
        <v>157</v>
      </c>
      <c r="CU25" s="225"/>
      <c r="CV25" s="226"/>
      <c r="CW25" s="202" t="s">
        <v>125</v>
      </c>
      <c r="CX25" s="227" t="s">
        <v>260</v>
      </c>
      <c r="CY25" s="228"/>
      <c r="CZ25" s="224" t="s">
        <v>158</v>
      </c>
      <c r="DA25" s="225"/>
      <c r="DB25" s="225"/>
      <c r="DC25" s="225"/>
      <c r="DD25" s="226"/>
    </row>
    <row r="26" spans="1:108" ht="18">
      <c r="A26" s="16"/>
      <c r="B26" s="5"/>
      <c r="C26" s="5"/>
      <c r="D26" s="5"/>
      <c r="E26" s="5"/>
      <c r="F26" s="5"/>
      <c r="G26" s="5"/>
      <c r="H26" s="13" t="s">
        <v>3</v>
      </c>
      <c r="I26" s="4">
        <f>G12</f>
        <v>2</v>
      </c>
      <c r="J26" s="23" t="s">
        <v>4</v>
      </c>
      <c r="K26" s="6"/>
      <c r="L26" s="5"/>
      <c r="M26" s="16"/>
      <c r="N26" s="5"/>
      <c r="O26" s="5"/>
      <c r="P26" s="5"/>
      <c r="Q26" s="5"/>
      <c r="R26" s="5"/>
      <c r="S26" s="5"/>
      <c r="T26" s="22" t="s">
        <v>2</v>
      </c>
      <c r="U26" s="22"/>
      <c r="V26" s="12"/>
      <c r="W26" s="2"/>
      <c r="X26" s="2"/>
      <c r="AD26" t="s">
        <v>236</v>
      </c>
      <c r="AE26" s="242" t="s">
        <v>80</v>
      </c>
      <c r="AF26" s="242" t="s">
        <v>69</v>
      </c>
      <c r="AG26" s="245" t="s">
        <v>70</v>
      </c>
      <c r="AH26" s="246"/>
      <c r="AI26" s="246"/>
      <c r="AJ26" s="247"/>
      <c r="AK26" s="245" t="s">
        <v>93</v>
      </c>
      <c r="AL26" s="246"/>
      <c r="AM26" s="247"/>
      <c r="AN26" s="186"/>
      <c r="AO26" s="186"/>
      <c r="AP26" s="186"/>
      <c r="AQ26" s="186"/>
      <c r="AR26" s="186"/>
      <c r="AS26" s="245" t="s">
        <v>105</v>
      </c>
      <c r="AT26" s="247"/>
      <c r="AU26" s="236" t="s">
        <v>77</v>
      </c>
      <c r="BB26" s="229"/>
      <c r="BC26" s="229"/>
      <c r="BD26" s="229"/>
      <c r="BE26" s="229"/>
      <c r="BF26" s="229"/>
      <c r="BG26" s="229"/>
      <c r="BH26" s="229"/>
      <c r="BI26" s="229"/>
      <c r="BJ26" s="229"/>
      <c r="BK26" s="229"/>
      <c r="BL26" s="229"/>
      <c r="BM26" s="229"/>
      <c r="BP26" s="232"/>
      <c r="BQ26" s="233"/>
      <c r="BR26" s="229"/>
      <c r="BS26" s="229"/>
      <c r="BT26" s="229"/>
      <c r="BU26" s="229"/>
      <c r="BV26" s="229"/>
      <c r="BW26" s="229"/>
      <c r="BX26" s="229"/>
      <c r="BY26" s="229"/>
      <c r="BZ26" s="229"/>
      <c r="CA26" s="229"/>
      <c r="CC26" s="229"/>
      <c r="CD26" s="229"/>
      <c r="CE26" s="229"/>
      <c r="CF26" s="229"/>
      <c r="CG26" s="229"/>
      <c r="CH26" s="229"/>
      <c r="CI26" s="229"/>
      <c r="CJ26" s="124" t="s">
        <v>185</v>
      </c>
      <c r="CK26" s="124" t="s">
        <v>186</v>
      </c>
      <c r="CL26" s="230"/>
      <c r="CN26" t="s">
        <v>250</v>
      </c>
      <c r="CQ26" s="124">
        <f>$X$1</f>
        <v>7</v>
      </c>
      <c r="CR26" s="124">
        <f>$Y$1</f>
        <v>7</v>
      </c>
      <c r="CS26" s="124" t="s">
        <v>241</v>
      </c>
      <c r="CT26" s="194" t="s">
        <v>242</v>
      </c>
      <c r="CU26" s="195" t="s">
        <v>86</v>
      </c>
      <c r="CV26" s="193">
        <f>$AA$1</f>
        <v>300</v>
      </c>
      <c r="CW26" s="124">
        <f>$AS$29*$AE$23*2</f>
        <v>0</v>
      </c>
      <c r="CX26" s="124" t="str">
        <f>$AU$29</f>
        <v>НЕРЖ</v>
      </c>
      <c r="CY26" s="194">
        <v>1.5</v>
      </c>
      <c r="CZ26" s="194"/>
      <c r="DA26" s="195"/>
      <c r="DB26" s="195"/>
      <c r="DC26" s="195"/>
      <c r="DD26" s="193"/>
    </row>
    <row r="27" spans="1:108" ht="18">
      <c r="A27" s="16"/>
      <c r="B27" s="5"/>
      <c r="C27" s="5"/>
      <c r="D27" s="5"/>
      <c r="E27" s="5"/>
      <c r="F27" s="5"/>
      <c r="G27" s="5"/>
      <c r="H27" s="13" t="s">
        <v>14</v>
      </c>
      <c r="I27" s="4">
        <f>G13</f>
        <v>125</v>
      </c>
      <c r="J27" s="23" t="s">
        <v>4</v>
      </c>
      <c r="K27" s="6"/>
      <c r="L27" s="5"/>
      <c r="M27" s="16"/>
      <c r="N27" s="5"/>
      <c r="O27" s="5"/>
      <c r="P27" s="5"/>
      <c r="Q27" s="5"/>
      <c r="R27" s="5"/>
      <c r="S27" s="5"/>
      <c r="T27" s="13" t="s">
        <v>18</v>
      </c>
      <c r="U27" s="4">
        <v>1.5</v>
      </c>
      <c r="V27" s="23" t="s">
        <v>4</v>
      </c>
      <c r="W27" s="2"/>
      <c r="X27" s="2"/>
      <c r="AE27" s="243"/>
      <c r="AF27" s="243"/>
      <c r="AG27" s="248"/>
      <c r="AH27" s="249"/>
      <c r="AI27" s="249"/>
      <c r="AJ27" s="250"/>
      <c r="AK27" s="251"/>
      <c r="AL27" s="252"/>
      <c r="AM27" s="253"/>
      <c r="AN27" s="187"/>
      <c r="AO27" s="187"/>
      <c r="AP27" s="187"/>
      <c r="AQ27" s="187"/>
      <c r="AR27" s="187"/>
      <c r="AS27" s="251"/>
      <c r="AT27" s="253"/>
      <c r="AU27" s="238"/>
      <c r="BB27" s="124" t="s">
        <v>241</v>
      </c>
      <c r="BC27" s="194" t="s">
        <v>242</v>
      </c>
      <c r="BD27" s="195" t="s">
        <v>86</v>
      </c>
      <c r="BE27" s="193">
        <f>$AA$1</f>
        <v>300</v>
      </c>
      <c r="BF27" s="124">
        <f>$AS$29*$AE$23*2</f>
        <v>0</v>
      </c>
      <c r="BG27" s="124" t="str">
        <f>$AU$29</f>
        <v>НЕРЖ</v>
      </c>
      <c r="BH27" s="194">
        <v>1.5</v>
      </c>
      <c r="BI27" s="194"/>
      <c r="BJ27" s="195"/>
      <c r="BK27" s="195"/>
      <c r="BL27" s="195"/>
      <c r="BM27" s="193"/>
      <c r="BP27" s="124">
        <f>$X$1</f>
        <v>7</v>
      </c>
      <c r="BQ27" s="124">
        <f>$Y$1</f>
        <v>7</v>
      </c>
      <c r="BR27" s="124" t="s">
        <v>241</v>
      </c>
      <c r="BS27" s="194" t="s">
        <v>242</v>
      </c>
      <c r="BT27" s="195" t="s">
        <v>86</v>
      </c>
      <c r="BU27" s="193">
        <f>$AA$1</f>
        <v>300</v>
      </c>
      <c r="BV27" s="124">
        <f>$AS$29*$AE$23*2</f>
        <v>0</v>
      </c>
      <c r="BW27" s="194"/>
      <c r="BX27" s="195"/>
      <c r="BY27" s="195"/>
      <c r="BZ27" s="195"/>
      <c r="CA27" s="193"/>
      <c r="CC27" s="124" t="s">
        <v>241</v>
      </c>
      <c r="CD27" s="194" t="s">
        <v>242</v>
      </c>
      <c r="CE27" s="195" t="s">
        <v>86</v>
      </c>
      <c r="CF27" s="193">
        <f>$AA$1</f>
        <v>300</v>
      </c>
      <c r="CG27" s="124">
        <f>$AS$29*$AE$23*2</f>
        <v>0</v>
      </c>
      <c r="CH27" s="124" t="str">
        <f>$AU$29</f>
        <v>НЕРЖ</v>
      </c>
      <c r="CI27" s="194">
        <v>1.5</v>
      </c>
      <c r="CJ27" s="124">
        <v>4</v>
      </c>
      <c r="CK27" s="124">
        <f t="shared" ref="CK27:CK46" si="2">CJ27*CG27</f>
        <v>0</v>
      </c>
      <c r="CL27" s="124"/>
      <c r="CN27">
        <f>IF(CF27&lt;1999,CG27*0.024,IF(CF27&gt;2000,CG27*0.034,"0"))</f>
        <v>0</v>
      </c>
      <c r="CQ27" s="124">
        <f t="shared" ref="CQ27:CQ45" si="3">$X$1</f>
        <v>7</v>
      </c>
      <c r="CR27" s="124">
        <f t="shared" ref="CR27:CR45" si="4">$Y$1</f>
        <v>7</v>
      </c>
      <c r="CS27" s="124" t="s">
        <v>19</v>
      </c>
      <c r="CT27" s="194" t="s">
        <v>243</v>
      </c>
      <c r="CU27" s="195" t="s">
        <v>86</v>
      </c>
      <c r="CV27" s="193">
        <f>$AC$1</f>
        <v>300</v>
      </c>
      <c r="CW27" s="124">
        <f>$AS$35*$AE$23*2</f>
        <v>0</v>
      </c>
      <c r="CX27" s="124" t="str">
        <f>$AV$35</f>
        <v>НЕРЖ</v>
      </c>
      <c r="CY27" s="124">
        <v>1.5</v>
      </c>
      <c r="CZ27" s="194"/>
      <c r="DA27" s="195"/>
      <c r="DB27" s="195"/>
      <c r="DC27" s="195"/>
      <c r="DD27" s="193"/>
    </row>
    <row r="28" spans="1:108" ht="22.5">
      <c r="A28" s="16"/>
      <c r="B28" s="5"/>
      <c r="C28" s="5"/>
      <c r="D28" s="5"/>
      <c r="E28" s="5"/>
      <c r="F28" s="5"/>
      <c r="G28" s="5"/>
      <c r="H28" s="13" t="s">
        <v>15</v>
      </c>
      <c r="I28" s="4">
        <f>(I26-1)*I27</f>
        <v>125</v>
      </c>
      <c r="J28" s="23" t="s">
        <v>4</v>
      </c>
      <c r="K28" s="6"/>
      <c r="L28" s="5"/>
      <c r="M28" s="16"/>
      <c r="N28" s="5"/>
      <c r="O28" s="5"/>
      <c r="P28" s="5"/>
      <c r="Q28" s="5"/>
      <c r="R28" s="5"/>
      <c r="S28" s="5"/>
      <c r="T28" s="13" t="s">
        <v>3</v>
      </c>
      <c r="U28" s="4">
        <f>$S$12</f>
        <v>1</v>
      </c>
      <c r="V28" s="23" t="s">
        <v>4</v>
      </c>
      <c r="W28" s="2"/>
      <c r="X28" s="2"/>
      <c r="AE28" s="244"/>
      <c r="AF28" s="244"/>
      <c r="AG28" s="251"/>
      <c r="AH28" s="252"/>
      <c r="AI28" s="252"/>
      <c r="AJ28" s="253"/>
      <c r="AK28" s="185" t="s">
        <v>78</v>
      </c>
      <c r="AL28" s="89" t="s">
        <v>97</v>
      </c>
      <c r="AM28" s="89" t="s">
        <v>98</v>
      </c>
      <c r="AN28" s="89" t="s">
        <v>99</v>
      </c>
      <c r="AO28" s="95" t="s">
        <v>100</v>
      </c>
      <c r="AP28" s="95" t="s">
        <v>101</v>
      </c>
      <c r="AQ28" s="95" t="s">
        <v>102</v>
      </c>
      <c r="AR28" s="95" t="s">
        <v>103</v>
      </c>
      <c r="AS28" s="97" t="s">
        <v>106</v>
      </c>
      <c r="AT28" s="97" t="s">
        <v>107</v>
      </c>
      <c r="AU28" s="89" t="s">
        <v>188</v>
      </c>
      <c r="BB28" s="124" t="s">
        <v>19</v>
      </c>
      <c r="BC28" s="194" t="s">
        <v>243</v>
      </c>
      <c r="BD28" s="195" t="s">
        <v>86</v>
      </c>
      <c r="BE28" s="193">
        <f>$AC$1</f>
        <v>300</v>
      </c>
      <c r="BF28" s="124">
        <f>$AS$35*$AE$23*2</f>
        <v>0</v>
      </c>
      <c r="BG28" s="124" t="str">
        <f>$AV$35</f>
        <v>НЕРЖ</v>
      </c>
      <c r="BH28" s="124">
        <v>1.5</v>
      </c>
      <c r="BI28" s="194"/>
      <c r="BJ28" s="195"/>
      <c r="BK28" s="195"/>
      <c r="BL28" s="195"/>
      <c r="BM28" s="193"/>
      <c r="BP28" s="124">
        <f t="shared" ref="BP28:BP46" si="5">$X$1</f>
        <v>7</v>
      </c>
      <c r="BQ28" s="124">
        <f t="shared" ref="BQ28:BQ46" si="6">$Y$1</f>
        <v>7</v>
      </c>
      <c r="BR28" s="124" t="s">
        <v>19</v>
      </c>
      <c r="BS28" s="194" t="s">
        <v>243</v>
      </c>
      <c r="BT28" s="195" t="s">
        <v>86</v>
      </c>
      <c r="BU28" s="193">
        <f>$AC$1</f>
        <v>300</v>
      </c>
      <c r="BV28" s="124">
        <f>$AS$35*$AE$23*2</f>
        <v>0</v>
      </c>
      <c r="BW28" s="194"/>
      <c r="BX28" s="195"/>
      <c r="BY28" s="195"/>
      <c r="BZ28" s="195"/>
      <c r="CA28" s="193"/>
      <c r="CC28" s="124" t="s">
        <v>19</v>
      </c>
      <c r="CD28" s="194" t="s">
        <v>243</v>
      </c>
      <c r="CE28" s="195" t="s">
        <v>86</v>
      </c>
      <c r="CF28" s="193">
        <f>$AC$1</f>
        <v>300</v>
      </c>
      <c r="CG28" s="124">
        <f>$AS$35*$AE$23*2</f>
        <v>0</v>
      </c>
      <c r="CH28" s="124" t="str">
        <f>$AV$35</f>
        <v>НЕРЖ</v>
      </c>
      <c r="CI28" s="124">
        <v>1.5</v>
      </c>
      <c r="CJ28" s="124">
        <v>4</v>
      </c>
      <c r="CK28" s="124">
        <f t="shared" si="2"/>
        <v>0</v>
      </c>
      <c r="CL28" s="124"/>
      <c r="CN28">
        <f>IF(CF28&lt;1999,CG28*0.024,IF(CF28&gt;2000,CG28*0.034,"0"))</f>
        <v>0</v>
      </c>
      <c r="CQ28" s="124">
        <f t="shared" si="3"/>
        <v>7</v>
      </c>
      <c r="CR28" s="124">
        <f t="shared" si="4"/>
        <v>7</v>
      </c>
      <c r="CS28" s="124" t="s">
        <v>244</v>
      </c>
      <c r="CT28" s="194" t="s">
        <v>245</v>
      </c>
      <c r="CU28" s="195" t="s">
        <v>86</v>
      </c>
      <c r="CV28" s="193">
        <f>$AC$1</f>
        <v>300</v>
      </c>
      <c r="CW28" s="124">
        <f>$AU$41*$AE$23</f>
        <v>0</v>
      </c>
      <c r="CX28" s="124" t="str">
        <f>$AV$41</f>
        <v>НЕРЖ</v>
      </c>
      <c r="CY28" s="124">
        <v>1</v>
      </c>
      <c r="CZ28" s="194"/>
      <c r="DA28" s="195"/>
      <c r="DB28" s="195"/>
      <c r="DC28" s="195"/>
      <c r="DD28" s="193"/>
    </row>
    <row r="29" spans="1:108" ht="18">
      <c r="A29" s="16"/>
      <c r="B29" s="5"/>
      <c r="C29" s="5"/>
      <c r="D29" s="5"/>
      <c r="E29" s="5"/>
      <c r="F29" s="5"/>
      <c r="G29" s="5"/>
      <c r="H29" s="13" t="s">
        <v>56</v>
      </c>
      <c r="I29" s="4">
        <f>B2+60</f>
        <v>360</v>
      </c>
      <c r="J29" s="23" t="s">
        <v>4</v>
      </c>
      <c r="K29" s="6"/>
      <c r="L29" s="5"/>
      <c r="M29" s="16"/>
      <c r="N29" s="5"/>
      <c r="O29" s="5"/>
      <c r="P29" s="5"/>
      <c r="Q29" s="5"/>
      <c r="R29" s="5"/>
      <c r="S29" s="5"/>
      <c r="T29" s="13" t="s">
        <v>14</v>
      </c>
      <c r="U29" s="4">
        <f>$S$13</f>
        <v>125</v>
      </c>
      <c r="V29" s="23" t="s">
        <v>4</v>
      </c>
      <c r="W29" s="2"/>
      <c r="X29" s="2"/>
      <c r="AD29">
        <f>(AS29+AT29)*AE23</f>
        <v>0</v>
      </c>
      <c r="AE29" s="175">
        <f>$X$1</f>
        <v>7</v>
      </c>
      <c r="AF29" s="184">
        <f>Y1</f>
        <v>7</v>
      </c>
      <c r="AG29" s="239" t="str">
        <f>CONCATENATE( $Z$1," ",$AA$1,"X",$AC$1)</f>
        <v>Тюльпан 2-B 300X300</v>
      </c>
      <c r="AH29" s="260"/>
      <c r="AI29" s="260"/>
      <c r="AJ29" s="240"/>
      <c r="AK29" s="184">
        <f>'Лист1 (2)'!$I$26</f>
        <v>2</v>
      </c>
      <c r="AL29" s="184">
        <f>'Лист1 (2)'!$I$27</f>
        <v>125</v>
      </c>
      <c r="AM29" s="184">
        <f>'Лист1 (2)'!$I$28</f>
        <v>125</v>
      </c>
      <c r="AN29" s="184">
        <f>'Лист1 (2)'!$I$29</f>
        <v>360</v>
      </c>
      <c r="AO29" s="94">
        <f>'Лист1 (2)'!$I$30</f>
        <v>96.5</v>
      </c>
      <c r="AP29" s="94">
        <f>'Лист1 (2)'!$I$31</f>
        <v>110</v>
      </c>
      <c r="AQ29" s="96">
        <f>'Лист1 (2)'!$I$32</f>
        <v>3</v>
      </c>
      <c r="AR29" s="96">
        <f>'Лист1 (2)'!$I$33</f>
        <v>4</v>
      </c>
      <c r="AS29" s="184">
        <f>1*$AI$1</f>
        <v>4</v>
      </c>
      <c r="AT29" s="184">
        <f>1*$AI$1</f>
        <v>4</v>
      </c>
      <c r="AU29" s="184" t="str">
        <f>IF($AE$2=1,"ОЦ",IF($AE$2=2,"НЕРЖ",""))</f>
        <v>НЕРЖ</v>
      </c>
      <c r="BB29" s="124" t="s">
        <v>244</v>
      </c>
      <c r="BC29" s="194" t="s">
        <v>245</v>
      </c>
      <c r="BD29" s="195" t="s">
        <v>86</v>
      </c>
      <c r="BE29" s="193">
        <f>$AC$1</f>
        <v>300</v>
      </c>
      <c r="BF29" s="124">
        <f>$AU$41*$AE$23</f>
        <v>0</v>
      </c>
      <c r="BG29" s="124" t="str">
        <f>$AV$41</f>
        <v>НЕРЖ</v>
      </c>
      <c r="BH29" s="124">
        <v>1</v>
      </c>
      <c r="BI29" s="194"/>
      <c r="BJ29" s="195"/>
      <c r="BK29" s="195"/>
      <c r="BL29" s="195"/>
      <c r="BM29" s="193"/>
      <c r="BP29" s="124">
        <f t="shared" si="5"/>
        <v>7</v>
      </c>
      <c r="BQ29" s="124">
        <f t="shared" si="6"/>
        <v>7</v>
      </c>
      <c r="BR29" s="124" t="s">
        <v>244</v>
      </c>
      <c r="BS29" s="194" t="s">
        <v>245</v>
      </c>
      <c r="BT29" s="195" t="s">
        <v>86</v>
      </c>
      <c r="BU29" s="193">
        <f>$AC$1</f>
        <v>300</v>
      </c>
      <c r="BV29" s="124">
        <f>$AU$41*$AE$23</f>
        <v>0</v>
      </c>
      <c r="BW29" s="194"/>
      <c r="BX29" s="195"/>
      <c r="BY29" s="195"/>
      <c r="BZ29" s="195"/>
      <c r="CA29" s="193"/>
      <c r="CC29" s="124" t="s">
        <v>244</v>
      </c>
      <c r="CD29" s="194" t="s">
        <v>245</v>
      </c>
      <c r="CE29" s="195" t="s">
        <v>86</v>
      </c>
      <c r="CF29" s="193">
        <f>$AC$1</f>
        <v>300</v>
      </c>
      <c r="CG29" s="124">
        <f>$AU$41*$AE$23</f>
        <v>0</v>
      </c>
      <c r="CH29" s="124" t="str">
        <f>$AV$41</f>
        <v>НЕРЖ</v>
      </c>
      <c r="CI29" s="124">
        <v>1</v>
      </c>
      <c r="CJ29" s="124">
        <v>3</v>
      </c>
      <c r="CK29" s="124">
        <f t="shared" si="2"/>
        <v>0</v>
      </c>
      <c r="CL29" s="124"/>
      <c r="CN29">
        <f>IF(CF29&lt;1999,CG29*0.017,IF(CF29&gt;2000,CG29*0.027,"0"))</f>
        <v>0</v>
      </c>
      <c r="CQ29" s="124">
        <f t="shared" si="3"/>
        <v>7</v>
      </c>
      <c r="CR29" s="124">
        <f t="shared" si="4"/>
        <v>7</v>
      </c>
      <c r="CS29" s="124" t="s">
        <v>244</v>
      </c>
      <c r="CT29" s="194" t="s">
        <v>246</v>
      </c>
      <c r="CU29" s="195" t="s">
        <v>86</v>
      </c>
      <c r="CV29" s="193">
        <f>$AC$1</f>
        <v>300</v>
      </c>
      <c r="CW29" s="124">
        <f>$AT$41*$AE$23</f>
        <v>0</v>
      </c>
      <c r="CX29" s="124" t="str">
        <f t="shared" ref="CX29:CX30" si="7">$AV$41</f>
        <v>НЕРЖ</v>
      </c>
      <c r="CY29" s="124">
        <v>1</v>
      </c>
      <c r="CZ29" s="194"/>
      <c r="DA29" s="195"/>
      <c r="DB29" s="195"/>
      <c r="DC29" s="195"/>
      <c r="DD29" s="193"/>
    </row>
    <row r="30" spans="1:108" ht="18">
      <c r="A30" s="16"/>
      <c r="B30" s="5"/>
      <c r="C30" s="5"/>
      <c r="D30" s="5"/>
      <c r="E30" s="5"/>
      <c r="F30" s="5"/>
      <c r="G30" s="5"/>
      <c r="H30" s="13" t="s">
        <v>62</v>
      </c>
      <c r="I30" s="4">
        <f>(B2+30)/F15-13.5</f>
        <v>96.5</v>
      </c>
      <c r="J30" s="23" t="s">
        <v>4</v>
      </c>
      <c r="K30" s="6"/>
      <c r="L30" s="5"/>
      <c r="M30" s="16"/>
      <c r="N30" s="5"/>
      <c r="O30" s="5"/>
      <c r="P30" s="5"/>
      <c r="Q30" s="5"/>
      <c r="R30" s="5"/>
      <c r="S30" s="5"/>
      <c r="T30" s="13" t="s">
        <v>15</v>
      </c>
      <c r="U30" s="4">
        <f>(U28-1)*U29</f>
        <v>0</v>
      </c>
      <c r="V30" s="23" t="s">
        <v>4</v>
      </c>
      <c r="W30" s="2"/>
      <c r="X30" s="2"/>
      <c r="BB30" s="124" t="s">
        <v>244</v>
      </c>
      <c r="BC30" s="194" t="s">
        <v>246</v>
      </c>
      <c r="BD30" s="195" t="s">
        <v>86</v>
      </c>
      <c r="BE30" s="193">
        <f>$AC$1</f>
        <v>300</v>
      </c>
      <c r="BF30" s="124">
        <f>$AT$41*$AE$23</f>
        <v>0</v>
      </c>
      <c r="BG30" s="124" t="str">
        <f t="shared" ref="BG30:BG31" si="8">$AV$41</f>
        <v>НЕРЖ</v>
      </c>
      <c r="BH30" s="124">
        <v>1</v>
      </c>
      <c r="BI30" s="194"/>
      <c r="BJ30" s="195"/>
      <c r="BK30" s="195"/>
      <c r="BL30" s="195"/>
      <c r="BM30" s="193"/>
      <c r="BP30" s="124">
        <f t="shared" si="5"/>
        <v>7</v>
      </c>
      <c r="BQ30" s="124">
        <f t="shared" si="6"/>
        <v>7</v>
      </c>
      <c r="BR30" s="124" t="s">
        <v>244</v>
      </c>
      <c r="BS30" s="194" t="s">
        <v>246</v>
      </c>
      <c r="BT30" s="195" t="s">
        <v>86</v>
      </c>
      <c r="BU30" s="193">
        <f>$AC$1</f>
        <v>300</v>
      </c>
      <c r="BV30" s="124">
        <f>$AT$41*$AE$23</f>
        <v>0</v>
      </c>
      <c r="BW30" s="194"/>
      <c r="BX30" s="195"/>
      <c r="BY30" s="195"/>
      <c r="BZ30" s="195"/>
      <c r="CA30" s="193"/>
      <c r="CC30" s="124" t="s">
        <v>244</v>
      </c>
      <c r="CD30" s="194" t="s">
        <v>246</v>
      </c>
      <c r="CE30" s="195" t="s">
        <v>86</v>
      </c>
      <c r="CF30" s="193">
        <f>$AC$1</f>
        <v>300</v>
      </c>
      <c r="CG30" s="124">
        <f>$AT$41*$AE$23</f>
        <v>0</v>
      </c>
      <c r="CH30" s="124" t="str">
        <f t="shared" ref="CH30:CH31" si="9">$AV$41</f>
        <v>НЕРЖ</v>
      </c>
      <c r="CI30" s="124">
        <v>1</v>
      </c>
      <c r="CJ30" s="124">
        <v>3</v>
      </c>
      <c r="CK30" s="124">
        <f t="shared" si="2"/>
        <v>0</v>
      </c>
      <c r="CL30" s="124"/>
      <c r="CN30">
        <f>IF(CF30&lt;1999,CG30*0.017,IF(CF30&gt;2000,CG30*0.027,"0"))</f>
        <v>0</v>
      </c>
      <c r="CQ30" s="124">
        <f t="shared" si="3"/>
        <v>7</v>
      </c>
      <c r="CR30" s="124">
        <f t="shared" si="4"/>
        <v>7</v>
      </c>
      <c r="CS30" s="124" t="s">
        <v>244</v>
      </c>
      <c r="CT30" s="194" t="s">
        <v>122</v>
      </c>
      <c r="CU30" s="195" t="s">
        <v>86</v>
      </c>
      <c r="CV30" s="193">
        <f>$AC$1</f>
        <v>300</v>
      </c>
      <c r="CW30" s="124">
        <f>$AQ$41*$AE$23</f>
        <v>0</v>
      </c>
      <c r="CX30" s="124" t="str">
        <f t="shared" si="7"/>
        <v>НЕРЖ</v>
      </c>
      <c r="CY30" s="124">
        <v>1</v>
      </c>
      <c r="CZ30" s="194"/>
      <c r="DA30" s="195"/>
      <c r="DB30" s="195"/>
      <c r="DC30" s="195"/>
      <c r="DD30" s="193"/>
    </row>
    <row r="31" spans="1:108" ht="18.75">
      <c r="A31" s="16"/>
      <c r="B31" s="5"/>
      <c r="C31" s="5"/>
      <c r="D31" s="5"/>
      <c r="E31" s="5"/>
      <c r="F31" s="5"/>
      <c r="G31" s="5"/>
      <c r="H31" s="13" t="s">
        <v>76</v>
      </c>
      <c r="I31" s="4">
        <f>(B2+30)/F15</f>
        <v>110</v>
      </c>
      <c r="J31" s="23" t="s">
        <v>4</v>
      </c>
      <c r="K31" s="6"/>
      <c r="L31" s="5"/>
      <c r="M31" s="16"/>
      <c r="N31" s="5"/>
      <c r="O31" s="5"/>
      <c r="P31" s="5"/>
      <c r="Q31" s="5"/>
      <c r="R31" s="5"/>
      <c r="S31" s="5"/>
      <c r="T31" s="13" t="s">
        <v>56</v>
      </c>
      <c r="U31" s="4">
        <f>N2+60</f>
        <v>360</v>
      </c>
      <c r="V31" s="23" t="s">
        <v>4</v>
      </c>
      <c r="W31" s="2"/>
      <c r="X31" s="2"/>
      <c r="AD31" t="s">
        <v>236</v>
      </c>
      <c r="AE31" s="286" t="s">
        <v>108</v>
      </c>
      <c r="AF31" s="286"/>
      <c r="AG31" s="286"/>
      <c r="AH31" s="286"/>
      <c r="AI31" s="286"/>
      <c r="AJ31" s="286"/>
      <c r="AK31" s="286"/>
      <c r="AL31" s="286"/>
      <c r="AM31" s="286"/>
      <c r="AN31" s="286"/>
      <c r="AO31" s="286"/>
      <c r="AP31" s="286"/>
      <c r="AQ31" s="286"/>
      <c r="AR31" s="286"/>
      <c r="AS31" s="286"/>
      <c r="AT31" s="286"/>
      <c r="AU31" s="286"/>
      <c r="AV31" s="6"/>
      <c r="BB31" s="124" t="s">
        <v>244</v>
      </c>
      <c r="BC31" s="194" t="s">
        <v>122</v>
      </c>
      <c r="BD31" s="195" t="s">
        <v>86</v>
      </c>
      <c r="BE31" s="193">
        <f>$AC$1</f>
        <v>300</v>
      </c>
      <c r="BF31" s="124">
        <f>$AQ$41*$AE$23</f>
        <v>0</v>
      </c>
      <c r="BG31" s="124" t="str">
        <f t="shared" si="8"/>
        <v>НЕРЖ</v>
      </c>
      <c r="BH31" s="124">
        <v>1</v>
      </c>
      <c r="BI31" s="194"/>
      <c r="BJ31" s="195"/>
      <c r="BK31" s="195"/>
      <c r="BL31" s="195"/>
      <c r="BM31" s="193"/>
      <c r="BP31" s="124">
        <f t="shared" si="5"/>
        <v>7</v>
      </c>
      <c r="BQ31" s="124">
        <f t="shared" si="6"/>
        <v>7</v>
      </c>
      <c r="BR31" s="124" t="s">
        <v>244</v>
      </c>
      <c r="BS31" s="194" t="s">
        <v>122</v>
      </c>
      <c r="BT31" s="195" t="s">
        <v>86</v>
      </c>
      <c r="BU31" s="193">
        <f>$AC$1</f>
        <v>300</v>
      </c>
      <c r="BV31" s="124">
        <f>$AQ$41*$AE$23</f>
        <v>0</v>
      </c>
      <c r="BW31" s="194"/>
      <c r="BX31" s="195"/>
      <c r="BY31" s="195"/>
      <c r="BZ31" s="195"/>
      <c r="CA31" s="193"/>
      <c r="CC31" s="124" t="s">
        <v>244</v>
      </c>
      <c r="CD31" s="194" t="s">
        <v>122</v>
      </c>
      <c r="CE31" s="195" t="s">
        <v>86</v>
      </c>
      <c r="CF31" s="193">
        <f>$AC$1</f>
        <v>300</v>
      </c>
      <c r="CG31" s="124">
        <f>$AQ$41*$AE$23</f>
        <v>0</v>
      </c>
      <c r="CH31" s="124" t="str">
        <f t="shared" si="9"/>
        <v>НЕРЖ</v>
      </c>
      <c r="CI31" s="124">
        <v>1</v>
      </c>
      <c r="CJ31" s="124">
        <v>3</v>
      </c>
      <c r="CK31" s="124">
        <f t="shared" si="2"/>
        <v>0</v>
      </c>
      <c r="CL31" s="124"/>
      <c r="CN31">
        <f>IF(CF31&lt;1999,CG31*0.017,IF(CF31&gt;2000,CG31*0.027,"0"))</f>
        <v>0</v>
      </c>
      <c r="CQ31" s="124">
        <f t="shared" si="3"/>
        <v>7</v>
      </c>
      <c r="CR31" s="124">
        <f t="shared" si="4"/>
        <v>7</v>
      </c>
      <c r="CS31" s="124" t="s">
        <v>247</v>
      </c>
      <c r="CT31" s="194" t="s">
        <v>31</v>
      </c>
      <c r="CU31" s="195" t="s">
        <v>86</v>
      </c>
      <c r="CV31" s="193">
        <f t="shared" ref="CV31:CV33" si="10">$AC$1</f>
        <v>300</v>
      </c>
      <c r="CW31" s="124">
        <f>$AT$47*$AE$23</f>
        <v>0</v>
      </c>
      <c r="CX31" s="222" t="str">
        <f>$AQ$47</f>
        <v>ДПРНП 1,2 НД Л63</v>
      </c>
      <c r="CY31" s="223"/>
      <c r="CZ31" s="194"/>
      <c r="DA31" s="195"/>
      <c r="DB31" s="195"/>
      <c r="DC31" s="195"/>
      <c r="DD31" s="193"/>
    </row>
    <row r="32" spans="1:108" ht="15.75" customHeight="1">
      <c r="A32" s="16"/>
      <c r="B32" s="5"/>
      <c r="C32" s="5"/>
      <c r="D32" s="5"/>
      <c r="E32" s="5"/>
      <c r="F32" s="5"/>
      <c r="G32" s="5"/>
      <c r="H32" s="59" t="s">
        <v>23</v>
      </c>
      <c r="I32" s="4">
        <f>F15</f>
        <v>3</v>
      </c>
      <c r="J32" s="17"/>
      <c r="K32" s="6"/>
      <c r="L32" s="5"/>
      <c r="M32" s="16"/>
      <c r="N32" s="5"/>
      <c r="O32" s="5"/>
      <c r="P32" s="5"/>
      <c r="Q32" s="5"/>
      <c r="R32" s="5"/>
      <c r="W32" s="2"/>
      <c r="X32" s="2"/>
      <c r="AE32" s="243" t="s">
        <v>80</v>
      </c>
      <c r="AF32" s="243" t="s">
        <v>69</v>
      </c>
      <c r="AG32" s="248" t="s">
        <v>70</v>
      </c>
      <c r="AH32" s="249"/>
      <c r="AI32" s="249"/>
      <c r="AJ32" s="250"/>
      <c r="AK32" s="248" t="s">
        <v>93</v>
      </c>
      <c r="AL32" s="249"/>
      <c r="AM32" s="249"/>
      <c r="AN32" s="249"/>
      <c r="AO32" s="249"/>
      <c r="AP32" s="250"/>
      <c r="AQ32" s="230" t="s">
        <v>111</v>
      </c>
      <c r="AR32" s="230"/>
      <c r="AS32" s="230"/>
      <c r="AT32" s="230" t="s">
        <v>114</v>
      </c>
      <c r="AU32" s="230"/>
      <c r="AV32" s="236" t="s">
        <v>77</v>
      </c>
      <c r="BB32" s="124" t="s">
        <v>247</v>
      </c>
      <c r="BC32" s="194" t="s">
        <v>31</v>
      </c>
      <c r="BD32" s="195" t="s">
        <v>86</v>
      </c>
      <c r="BE32" s="193">
        <f t="shared" ref="BE32:BE34" si="11">$AC$1</f>
        <v>300</v>
      </c>
      <c r="BF32" s="124">
        <f>$AT$47*$AE$23</f>
        <v>0</v>
      </c>
      <c r="BG32" s="222" t="str">
        <f>$AQ$47</f>
        <v>ДПРНП 1,2 НД Л63</v>
      </c>
      <c r="BH32" s="223"/>
      <c r="BI32" s="194"/>
      <c r="BJ32" s="195"/>
      <c r="BK32" s="195"/>
      <c r="BL32" s="195"/>
      <c r="BM32" s="193"/>
      <c r="BP32" s="124">
        <f t="shared" si="5"/>
        <v>7</v>
      </c>
      <c r="BQ32" s="124">
        <f t="shared" si="6"/>
        <v>7</v>
      </c>
      <c r="BR32" s="124" t="s">
        <v>247</v>
      </c>
      <c r="BS32" s="194" t="s">
        <v>31</v>
      </c>
      <c r="BT32" s="195" t="s">
        <v>86</v>
      </c>
      <c r="BU32" s="193">
        <f t="shared" ref="BU32:BU34" si="12">$AC$1</f>
        <v>300</v>
      </c>
      <c r="BV32" s="124">
        <f>$AT$47*$AE$23</f>
        <v>0</v>
      </c>
      <c r="BW32" s="194"/>
      <c r="BX32" s="195"/>
      <c r="BY32" s="195"/>
      <c r="BZ32" s="195"/>
      <c r="CA32" s="193"/>
      <c r="CC32" s="124" t="s">
        <v>247</v>
      </c>
      <c r="CD32" s="194" t="s">
        <v>31</v>
      </c>
      <c r="CE32" s="195" t="s">
        <v>86</v>
      </c>
      <c r="CF32" s="193">
        <f t="shared" ref="CF32:CF34" si="13">$AC$1</f>
        <v>300</v>
      </c>
      <c r="CG32" s="124">
        <f>$AT$47*$AE$23</f>
        <v>0</v>
      </c>
      <c r="CH32" s="222" t="str">
        <f>$AQ$47</f>
        <v>ДПРНП 1,2 НД Л63</v>
      </c>
      <c r="CI32" s="223"/>
      <c r="CJ32" s="124">
        <v>1</v>
      </c>
      <c r="CK32" s="124">
        <f t="shared" si="2"/>
        <v>0</v>
      </c>
      <c r="CL32" s="124"/>
      <c r="CN32">
        <f>IF(CF32&lt;1999,CG32*0.006,IF(CF32&gt;2000,CG32*0.01,"0"))</f>
        <v>0</v>
      </c>
      <c r="CQ32" s="124">
        <f t="shared" si="3"/>
        <v>7</v>
      </c>
      <c r="CR32" s="124">
        <f t="shared" si="4"/>
        <v>7</v>
      </c>
      <c r="CS32" s="124" t="s">
        <v>36</v>
      </c>
      <c r="CT32" s="194" t="s">
        <v>34</v>
      </c>
      <c r="CU32" s="195" t="s">
        <v>86</v>
      </c>
      <c r="CV32" s="193">
        <f t="shared" si="10"/>
        <v>300</v>
      </c>
      <c r="CW32" s="124">
        <f>$AT$53*$AE$23</f>
        <v>0</v>
      </c>
      <c r="CX32" s="124" t="str">
        <f>$AQ$53</f>
        <v>НЕРЖ</v>
      </c>
      <c r="CY32" s="124">
        <v>1</v>
      </c>
      <c r="CZ32" s="194"/>
      <c r="DA32" s="195"/>
      <c r="DB32" s="195"/>
      <c r="DC32" s="195"/>
      <c r="DD32" s="193"/>
    </row>
    <row r="33" spans="1:108" ht="18">
      <c r="A33" s="16"/>
      <c r="B33" s="5"/>
      <c r="C33" s="5"/>
      <c r="D33" s="5"/>
      <c r="E33" s="5"/>
      <c r="F33" s="5"/>
      <c r="G33" s="5"/>
      <c r="H33" s="13" t="s">
        <v>50</v>
      </c>
      <c r="I33" s="4">
        <f>4*I26-4</f>
        <v>4</v>
      </c>
      <c r="J33" s="17"/>
      <c r="K33" s="6"/>
      <c r="L33" s="5"/>
      <c r="M33" s="16"/>
      <c r="N33" s="5"/>
      <c r="O33" s="5"/>
      <c r="P33" s="5"/>
      <c r="Q33" s="5"/>
      <c r="R33" s="5"/>
      <c r="S33" s="5"/>
      <c r="T33" s="13" t="s">
        <v>195</v>
      </c>
      <c r="U33" s="4">
        <f>(N2+30)/R15</f>
        <v>110</v>
      </c>
      <c r="V33" s="23" t="s">
        <v>4</v>
      </c>
      <c r="W33" s="2"/>
      <c r="X33" s="2"/>
      <c r="AE33" s="243"/>
      <c r="AF33" s="243"/>
      <c r="AG33" s="248"/>
      <c r="AH33" s="249"/>
      <c r="AI33" s="249"/>
      <c r="AJ33" s="250"/>
      <c r="AK33" s="251"/>
      <c r="AL33" s="252"/>
      <c r="AM33" s="252"/>
      <c r="AN33" s="252"/>
      <c r="AO33" s="252"/>
      <c r="AP33" s="253"/>
      <c r="AQ33" s="229" t="s">
        <v>113</v>
      </c>
      <c r="AR33" s="229"/>
      <c r="AS33" s="97" t="s">
        <v>112</v>
      </c>
      <c r="AT33" s="89" t="s">
        <v>113</v>
      </c>
      <c r="AU33" s="97" t="s">
        <v>112</v>
      </c>
      <c r="AV33" s="237"/>
      <c r="BB33" s="124" t="s">
        <v>36</v>
      </c>
      <c r="BC33" s="194" t="s">
        <v>34</v>
      </c>
      <c r="BD33" s="195" t="s">
        <v>86</v>
      </c>
      <c r="BE33" s="193">
        <f t="shared" si="11"/>
        <v>300</v>
      </c>
      <c r="BF33" s="124">
        <f>$AT$53*$AE$23</f>
        <v>0</v>
      </c>
      <c r="BG33" s="124" t="str">
        <f>$AQ$53</f>
        <v>НЕРЖ</v>
      </c>
      <c r="BH33" s="124">
        <v>1</v>
      </c>
      <c r="BI33" s="194"/>
      <c r="BJ33" s="195"/>
      <c r="BK33" s="195"/>
      <c r="BL33" s="195"/>
      <c r="BM33" s="193"/>
      <c r="BP33" s="124">
        <f t="shared" si="5"/>
        <v>7</v>
      </c>
      <c r="BQ33" s="124">
        <f t="shared" si="6"/>
        <v>7</v>
      </c>
      <c r="BR33" s="124" t="s">
        <v>36</v>
      </c>
      <c r="BS33" s="194" t="s">
        <v>34</v>
      </c>
      <c r="BT33" s="195" t="s">
        <v>86</v>
      </c>
      <c r="BU33" s="193">
        <f t="shared" si="12"/>
        <v>300</v>
      </c>
      <c r="BV33" s="124">
        <f>$AT$53*$AE$23</f>
        <v>0</v>
      </c>
      <c r="BW33" s="194"/>
      <c r="BX33" s="195"/>
      <c r="BY33" s="195"/>
      <c r="BZ33" s="195"/>
      <c r="CA33" s="193"/>
      <c r="CC33" s="124" t="s">
        <v>36</v>
      </c>
      <c r="CD33" s="194" t="s">
        <v>34</v>
      </c>
      <c r="CE33" s="195" t="s">
        <v>86</v>
      </c>
      <c r="CF33" s="193">
        <f t="shared" si="13"/>
        <v>300</v>
      </c>
      <c r="CG33" s="124">
        <f>$AT$53*$AE$23</f>
        <v>0</v>
      </c>
      <c r="CH33" s="124" t="str">
        <f>$AQ$53</f>
        <v>НЕРЖ</v>
      </c>
      <c r="CI33" s="124">
        <v>1</v>
      </c>
      <c r="CJ33" s="124">
        <v>2</v>
      </c>
      <c r="CK33" s="124">
        <f t="shared" si="2"/>
        <v>0</v>
      </c>
      <c r="CL33" s="124"/>
      <c r="CN33">
        <f>IF(CF33&lt;1999,CG33*0.024,IF(CF33&gt;2000,CG33*0.034,"0"))</f>
        <v>0</v>
      </c>
      <c r="CQ33" s="124">
        <f t="shared" si="3"/>
        <v>7</v>
      </c>
      <c r="CR33" s="124">
        <f t="shared" si="4"/>
        <v>7</v>
      </c>
      <c r="CS33" s="124" t="s">
        <v>35</v>
      </c>
      <c r="CT33" s="194" t="s">
        <v>37</v>
      </c>
      <c r="CU33" s="195" t="s">
        <v>86</v>
      </c>
      <c r="CV33" s="193">
        <f t="shared" si="10"/>
        <v>300</v>
      </c>
      <c r="CW33" s="124">
        <f>$AT$59*$AE$23</f>
        <v>0</v>
      </c>
      <c r="CX33" s="124" t="str">
        <f>$AS$59</f>
        <v>НЕРЖ</v>
      </c>
      <c r="CY33" s="124">
        <v>1</v>
      </c>
      <c r="CZ33" s="194"/>
      <c r="DA33" s="195"/>
      <c r="DB33" s="195"/>
      <c r="DC33" s="195"/>
      <c r="DD33" s="193"/>
    </row>
    <row r="34" spans="1:108" ht="18">
      <c r="A34" s="16"/>
      <c r="B34" s="5"/>
      <c r="C34" s="5"/>
      <c r="D34" s="5"/>
      <c r="E34" s="5"/>
      <c r="F34" s="5"/>
      <c r="G34" s="5"/>
      <c r="H34" s="20" t="s">
        <v>6</v>
      </c>
      <c r="I34" s="5"/>
      <c r="J34" s="23">
        <f>2</f>
        <v>2</v>
      </c>
      <c r="K34" s="6"/>
      <c r="L34" s="5"/>
      <c r="M34" s="16"/>
      <c r="N34" s="148" t="str">
        <f>IF(R2=1,R18," ")</f>
        <v>Это отверстие</v>
      </c>
      <c r="O34" s="5"/>
      <c r="P34" s="5"/>
      <c r="Q34" s="148" t="str">
        <f>IF(R2=2,R18," ")</f>
        <v xml:space="preserve"> </v>
      </c>
      <c r="R34" s="5"/>
      <c r="S34" s="5"/>
      <c r="T34" s="13" t="s">
        <v>196</v>
      </c>
      <c r="U34" s="4">
        <f>N2-2*(U33-15)</f>
        <v>110</v>
      </c>
      <c r="V34" s="23" t="s">
        <v>4</v>
      </c>
      <c r="W34" s="2"/>
      <c r="X34" s="2"/>
      <c r="AE34" s="244"/>
      <c r="AF34" s="244"/>
      <c r="AG34" s="251"/>
      <c r="AH34" s="252"/>
      <c r="AI34" s="252"/>
      <c r="AJ34" s="253"/>
      <c r="AK34" s="229" t="s">
        <v>109</v>
      </c>
      <c r="AL34" s="229"/>
      <c r="AM34" s="98" t="s">
        <v>115</v>
      </c>
      <c r="AN34" s="89" t="s">
        <v>110</v>
      </c>
      <c r="AO34" s="89" t="s">
        <v>116</v>
      </c>
      <c r="AP34" s="89" t="s">
        <v>117</v>
      </c>
      <c r="AQ34" s="229">
        <v>60</v>
      </c>
      <c r="AR34" s="229"/>
      <c r="AS34" s="89"/>
      <c r="AT34" s="89">
        <v>35</v>
      </c>
      <c r="AU34" s="89"/>
      <c r="AV34" s="238"/>
      <c r="BB34" s="124" t="s">
        <v>35</v>
      </c>
      <c r="BC34" s="194" t="s">
        <v>37</v>
      </c>
      <c r="BD34" s="195" t="s">
        <v>86</v>
      </c>
      <c r="BE34" s="193">
        <f t="shared" si="11"/>
        <v>300</v>
      </c>
      <c r="BF34" s="124">
        <f>$AT$59*$AE$23</f>
        <v>0</v>
      </c>
      <c r="BG34" s="124" t="str">
        <f>$AS$59</f>
        <v>НЕРЖ</v>
      </c>
      <c r="BH34" s="124">
        <v>1</v>
      </c>
      <c r="BI34" s="194"/>
      <c r="BJ34" s="195"/>
      <c r="BK34" s="195"/>
      <c r="BL34" s="195"/>
      <c r="BM34" s="193"/>
      <c r="BP34" s="124">
        <f t="shared" si="5"/>
        <v>7</v>
      </c>
      <c r="BQ34" s="124">
        <f t="shared" si="6"/>
        <v>7</v>
      </c>
      <c r="BR34" s="124" t="s">
        <v>35</v>
      </c>
      <c r="BS34" s="194" t="s">
        <v>37</v>
      </c>
      <c r="BT34" s="195" t="s">
        <v>86</v>
      </c>
      <c r="BU34" s="193">
        <f t="shared" si="12"/>
        <v>300</v>
      </c>
      <c r="BV34" s="124">
        <f>$AT$59*$AE$23</f>
        <v>0</v>
      </c>
      <c r="BW34" s="194"/>
      <c r="BX34" s="195"/>
      <c r="BY34" s="195"/>
      <c r="BZ34" s="195"/>
      <c r="CA34" s="193"/>
      <c r="CC34" s="124" t="s">
        <v>35</v>
      </c>
      <c r="CD34" s="194" t="s">
        <v>37</v>
      </c>
      <c r="CE34" s="195" t="s">
        <v>86</v>
      </c>
      <c r="CF34" s="193">
        <f t="shared" si="13"/>
        <v>300</v>
      </c>
      <c r="CG34" s="124">
        <f>$AT$59*$AE$23</f>
        <v>0</v>
      </c>
      <c r="CH34" s="124" t="str">
        <f>$AS$59</f>
        <v>НЕРЖ</v>
      </c>
      <c r="CI34" s="124">
        <v>1</v>
      </c>
      <c r="CJ34" s="124">
        <v>1</v>
      </c>
      <c r="CK34" s="124">
        <f t="shared" si="2"/>
        <v>0</v>
      </c>
      <c r="CL34" s="124"/>
      <c r="CN34">
        <f>IF(CF34&lt;1999,CG34*0.006,IF(CF34&gt;2000,CG34*0.008,"0"))</f>
        <v>0</v>
      </c>
      <c r="CQ34" s="124">
        <f t="shared" si="3"/>
        <v>7</v>
      </c>
      <c r="CR34" s="124">
        <f t="shared" si="4"/>
        <v>7</v>
      </c>
      <c r="CS34" s="124" t="s">
        <v>42</v>
      </c>
      <c r="CT34" s="194" t="s">
        <v>41</v>
      </c>
      <c r="CU34" s="195" t="s">
        <v>86</v>
      </c>
      <c r="CV34" s="193">
        <f>$AP$65</f>
        <v>29</v>
      </c>
      <c r="CW34" s="124">
        <f>$AN$65*$AE$23</f>
        <v>0</v>
      </c>
      <c r="CX34" s="222" t="str">
        <f>$AK$65</f>
        <v>ДПРНП 1,2 НД Л63</v>
      </c>
      <c r="CY34" s="223"/>
      <c r="CZ34" s="194"/>
      <c r="DA34" s="195"/>
      <c r="DB34" s="195"/>
      <c r="DC34" s="195"/>
      <c r="DD34" s="193"/>
    </row>
    <row r="35" spans="1:108" ht="18.75" thickBot="1">
      <c r="A35" s="16"/>
      <c r="B35" s="5"/>
      <c r="C35" s="5"/>
      <c r="D35" s="5"/>
      <c r="E35" s="5"/>
      <c r="F35" s="5"/>
      <c r="G35" s="5"/>
      <c r="H35" s="13" t="s">
        <v>7</v>
      </c>
      <c r="I35" s="4" t="s">
        <v>189</v>
      </c>
      <c r="J35" s="14" t="s">
        <v>8</v>
      </c>
      <c r="K35" s="6"/>
      <c r="L35" s="5"/>
      <c r="M35" s="16"/>
      <c r="N35" s="5"/>
      <c r="O35" s="5"/>
      <c r="P35" s="5"/>
      <c r="Q35" s="5"/>
      <c r="R35" s="5"/>
      <c r="S35" s="5"/>
      <c r="T35" s="59" t="s">
        <v>20</v>
      </c>
      <c r="U35" s="4">
        <f>R15</f>
        <v>3</v>
      </c>
      <c r="V35" s="17"/>
      <c r="W35" s="2"/>
      <c r="X35" s="2"/>
      <c r="AD35">
        <f>(AS35+AU35)*AE23</f>
        <v>0</v>
      </c>
      <c r="AE35" s="158">
        <f>$X$1</f>
        <v>7</v>
      </c>
      <c r="AF35" s="158">
        <f>$Y$1</f>
        <v>7</v>
      </c>
      <c r="AG35" s="239" t="str">
        <f>CONCATENATE( $Z$1," ",$AA$1,"X",$AC$1)</f>
        <v>Тюльпан 2-B 300X300</v>
      </c>
      <c r="AH35" s="260"/>
      <c r="AI35" s="260"/>
      <c r="AJ35" s="240"/>
      <c r="AK35" s="239">
        <f>'Лист1 (2)'!$I$39</f>
        <v>303</v>
      </c>
      <c r="AL35" s="240"/>
      <c r="AM35" s="158">
        <f>'Лист1 (2)'!$I$40</f>
        <v>110</v>
      </c>
      <c r="AN35" s="158">
        <f>'Лист1 (2)'!$I$41</f>
        <v>276</v>
      </c>
      <c r="AO35" s="158">
        <f>'Лист1 (2)'!$I$42</f>
        <v>92</v>
      </c>
      <c r="AP35" s="158">
        <f>'Лист1 (2)'!$I$43</f>
        <v>3</v>
      </c>
      <c r="AQ35" s="239">
        <v>60</v>
      </c>
      <c r="AR35" s="240"/>
      <c r="AS35" s="158">
        <f>1*$AI$1</f>
        <v>4</v>
      </c>
      <c r="AT35" s="158">
        <v>35</v>
      </c>
      <c r="AU35" s="158">
        <f>1*$AI$1</f>
        <v>4</v>
      </c>
      <c r="AV35" s="158" t="str">
        <f>IF($AE$2=1,"ОЦ",IF($AE$2=2,"НЕРЖ",""))</f>
        <v>НЕРЖ</v>
      </c>
      <c r="BB35" s="124" t="s">
        <v>42</v>
      </c>
      <c r="BC35" s="194" t="s">
        <v>41</v>
      </c>
      <c r="BD35" s="195" t="s">
        <v>86</v>
      </c>
      <c r="BE35" s="193">
        <f>$AP$65</f>
        <v>29</v>
      </c>
      <c r="BF35" s="124">
        <f>$AN$65*$AE$23</f>
        <v>0</v>
      </c>
      <c r="BG35" s="222" t="str">
        <f>$AK$65</f>
        <v>ДПРНП 1,2 НД Л63</v>
      </c>
      <c r="BH35" s="223"/>
      <c r="BI35" s="194"/>
      <c r="BJ35" s="195"/>
      <c r="BK35" s="195"/>
      <c r="BL35" s="195"/>
      <c r="BM35" s="193"/>
      <c r="BP35" s="124">
        <f t="shared" si="5"/>
        <v>7</v>
      </c>
      <c r="BQ35" s="124">
        <f t="shared" si="6"/>
        <v>7</v>
      </c>
      <c r="BR35" s="124" t="s">
        <v>42</v>
      </c>
      <c r="BS35" s="194" t="s">
        <v>41</v>
      </c>
      <c r="BT35" s="195" t="s">
        <v>86</v>
      </c>
      <c r="BU35" s="193">
        <f>$AP$65</f>
        <v>29</v>
      </c>
      <c r="BV35" s="124">
        <f>$AN$65*$AE$23</f>
        <v>0</v>
      </c>
      <c r="BW35" s="194"/>
      <c r="BX35" s="195"/>
      <c r="BY35" s="195"/>
      <c r="BZ35" s="195"/>
      <c r="CA35" s="193"/>
      <c r="CC35" s="124" t="s">
        <v>42</v>
      </c>
      <c r="CD35" s="194" t="s">
        <v>41</v>
      </c>
      <c r="CE35" s="195" t="s">
        <v>86</v>
      </c>
      <c r="CF35" s="193">
        <f>$AP$65</f>
        <v>29</v>
      </c>
      <c r="CG35" s="124">
        <f>$AN$65*$AE$23</f>
        <v>0</v>
      </c>
      <c r="CH35" s="222" t="str">
        <f>$AK$65</f>
        <v>ДПРНП 1,2 НД Л63</v>
      </c>
      <c r="CI35" s="223"/>
      <c r="CJ35" s="124">
        <v>1</v>
      </c>
      <c r="CK35" s="124">
        <f t="shared" si="2"/>
        <v>0</v>
      </c>
      <c r="CL35" s="124"/>
      <c r="CN35">
        <f>IF(CF35&lt;1999,CG35*0.006,IF(CF35&gt;2000,CG35*0.01,"0"))</f>
        <v>0</v>
      </c>
      <c r="CQ35" s="124">
        <f t="shared" si="3"/>
        <v>7</v>
      </c>
      <c r="CR35" s="124">
        <f t="shared" si="4"/>
        <v>7</v>
      </c>
      <c r="CS35" s="124" t="s">
        <v>40</v>
      </c>
      <c r="CT35" s="194" t="s">
        <v>248</v>
      </c>
      <c r="CU35" s="195" t="s">
        <v>86</v>
      </c>
      <c r="CV35" s="193">
        <f>$AH$1</f>
        <v>300</v>
      </c>
      <c r="CW35" s="124">
        <f>$AT$71*$AE$23</f>
        <v>0</v>
      </c>
      <c r="CX35" s="124" t="str">
        <f>$AS$71</f>
        <v>НЕРЖ</v>
      </c>
      <c r="CY35" s="192">
        <v>1.5</v>
      </c>
      <c r="CZ35" s="194">
        <f>$AA$1</f>
        <v>300</v>
      </c>
      <c r="DA35" s="195" t="s">
        <v>85</v>
      </c>
      <c r="DB35" s="195">
        <f>$AC$1</f>
        <v>300</v>
      </c>
      <c r="DC35" s="195" t="s">
        <v>85</v>
      </c>
      <c r="DD35" s="193">
        <f>$AH$1</f>
        <v>300</v>
      </c>
    </row>
    <row r="36" spans="1:108" ht="18">
      <c r="A36" s="15"/>
      <c r="B36" s="8"/>
      <c r="C36" s="8"/>
      <c r="D36" s="8"/>
      <c r="E36" s="8"/>
      <c r="F36" s="8"/>
      <c r="G36" s="8"/>
      <c r="H36" s="28" t="s">
        <v>66</v>
      </c>
      <c r="I36" s="8"/>
      <c r="J36" s="11"/>
      <c r="K36" s="6"/>
      <c r="L36" s="5"/>
      <c r="M36" s="16"/>
      <c r="N36" s="5"/>
      <c r="O36" s="5"/>
      <c r="P36" s="5"/>
      <c r="Q36" s="5"/>
      <c r="R36" s="5"/>
      <c r="S36" s="5"/>
      <c r="T36" s="20" t="s">
        <v>6</v>
      </c>
      <c r="U36" s="5"/>
      <c r="V36" s="23">
        <f>2</f>
        <v>2</v>
      </c>
      <c r="W36" s="2"/>
      <c r="X36" s="2"/>
      <c r="BB36" s="124" t="s">
        <v>40</v>
      </c>
      <c r="BC36" s="194" t="s">
        <v>248</v>
      </c>
      <c r="BD36" s="195" t="s">
        <v>86</v>
      </c>
      <c r="BE36" s="193">
        <f>$AH$1</f>
        <v>300</v>
      </c>
      <c r="BF36" s="124">
        <f>$AT$71*$AE$23</f>
        <v>0</v>
      </c>
      <c r="BG36" s="124" t="str">
        <f>$AS$71</f>
        <v>НЕРЖ</v>
      </c>
      <c r="BH36" s="192">
        <v>1.5</v>
      </c>
      <c r="BI36" s="194">
        <f>$AA$1</f>
        <v>300</v>
      </c>
      <c r="BJ36" s="195" t="s">
        <v>85</v>
      </c>
      <c r="BK36" s="195">
        <f>$AC$1</f>
        <v>300</v>
      </c>
      <c r="BL36" s="195" t="s">
        <v>85</v>
      </c>
      <c r="BM36" s="193">
        <f>$AH$1</f>
        <v>300</v>
      </c>
      <c r="BP36" s="124">
        <f t="shared" si="5"/>
        <v>7</v>
      </c>
      <c r="BQ36" s="124">
        <f t="shared" si="6"/>
        <v>7</v>
      </c>
      <c r="BR36" s="124" t="s">
        <v>40</v>
      </c>
      <c r="BS36" s="194" t="s">
        <v>248</v>
      </c>
      <c r="BT36" s="195" t="s">
        <v>86</v>
      </c>
      <c r="BU36" s="193">
        <f>$AH$1</f>
        <v>300</v>
      </c>
      <c r="BV36" s="124">
        <f>$AT$71*$AE$23</f>
        <v>0</v>
      </c>
      <c r="BW36" s="194">
        <f>$AA$1</f>
        <v>300</v>
      </c>
      <c r="BX36" s="195" t="s">
        <v>85</v>
      </c>
      <c r="BY36" s="195">
        <f>$AC$1</f>
        <v>300</v>
      </c>
      <c r="BZ36" s="195" t="s">
        <v>85</v>
      </c>
      <c r="CA36" s="193">
        <f>$AH$1</f>
        <v>300</v>
      </c>
      <c r="CC36" s="124" t="s">
        <v>40</v>
      </c>
      <c r="CD36" s="194" t="s">
        <v>248</v>
      </c>
      <c r="CE36" s="195" t="s">
        <v>86</v>
      </c>
      <c r="CF36" s="193">
        <f>$AH$1</f>
        <v>300</v>
      </c>
      <c r="CG36" s="124">
        <f>$AT$71*$AE$23</f>
        <v>0</v>
      </c>
      <c r="CH36" s="124" t="str">
        <f>$AS$71</f>
        <v>НЕРЖ</v>
      </c>
      <c r="CI36" s="192">
        <v>1.5</v>
      </c>
      <c r="CJ36" s="124">
        <v>0</v>
      </c>
      <c r="CK36" s="124">
        <f t="shared" si="2"/>
        <v>0</v>
      </c>
      <c r="CL36" s="124"/>
      <c r="CQ36" s="124">
        <f t="shared" si="3"/>
        <v>7</v>
      </c>
      <c r="CR36" s="124">
        <f t="shared" si="4"/>
        <v>7</v>
      </c>
      <c r="CS36" s="124" t="s">
        <v>241</v>
      </c>
      <c r="CT36" s="194" t="s">
        <v>194</v>
      </c>
      <c r="CU36" s="195" t="s">
        <v>86</v>
      </c>
      <c r="CV36" s="193">
        <f>$AA$1</f>
        <v>300</v>
      </c>
      <c r="CW36" s="124">
        <f>$AE$77*$AR$83</f>
        <v>8</v>
      </c>
      <c r="CX36" s="124" t="str">
        <f>$AS$83</f>
        <v>НЕРЖ</v>
      </c>
      <c r="CY36" s="124">
        <v>1.5</v>
      </c>
      <c r="CZ36" s="194"/>
      <c r="DA36" s="195"/>
      <c r="DB36" s="195"/>
      <c r="DC36" s="195"/>
      <c r="DD36" s="193"/>
    </row>
    <row r="37" spans="1:108" ht="27" customHeight="1">
      <c r="A37" s="16"/>
      <c r="B37" s="5"/>
      <c r="C37" s="5"/>
      <c r="D37" s="5"/>
      <c r="E37" s="5"/>
      <c r="F37" s="5"/>
      <c r="G37" s="5"/>
      <c r="H37" s="22" t="s">
        <v>19</v>
      </c>
      <c r="I37" s="22"/>
      <c r="J37" s="12"/>
      <c r="K37" s="93"/>
      <c r="L37" s="5"/>
      <c r="M37" s="16"/>
      <c r="N37" s="5"/>
      <c r="O37" s="5"/>
      <c r="P37" s="5"/>
      <c r="Q37" s="5"/>
      <c r="R37" s="5"/>
      <c r="S37" s="5"/>
      <c r="T37" s="13" t="s">
        <v>7</v>
      </c>
      <c r="U37" s="4">
        <f>ROUNDUP(307*U31*U27*0.00785/1000,3)</f>
        <v>1.3019999999999998</v>
      </c>
      <c r="V37" s="14" t="s">
        <v>8</v>
      </c>
      <c r="W37" s="2"/>
      <c r="X37" s="2"/>
      <c r="AE37" s="286" t="s">
        <v>159</v>
      </c>
      <c r="AF37" s="286"/>
      <c r="AG37" s="286"/>
      <c r="AH37" s="286"/>
      <c r="AI37" s="286"/>
      <c r="AJ37" s="286"/>
      <c r="AK37" s="286"/>
      <c r="AL37" s="286"/>
      <c r="AM37" s="286"/>
      <c r="AN37" s="286"/>
      <c r="AO37" s="286"/>
      <c r="AP37" s="286"/>
      <c r="AQ37" s="286"/>
      <c r="AR37" s="286"/>
      <c r="AS37" s="286"/>
      <c r="AT37" s="286"/>
      <c r="AU37" s="286"/>
      <c r="AV37" s="6"/>
      <c r="BB37" s="124" t="s">
        <v>241</v>
      </c>
      <c r="BC37" s="194" t="s">
        <v>194</v>
      </c>
      <c r="BD37" s="195" t="s">
        <v>86</v>
      </c>
      <c r="BE37" s="193">
        <f>$AA$1</f>
        <v>300</v>
      </c>
      <c r="BF37" s="124">
        <f>$AE$77*$AR$83</f>
        <v>8</v>
      </c>
      <c r="BG37" s="124" t="str">
        <f>$AS$83</f>
        <v>НЕРЖ</v>
      </c>
      <c r="BH37" s="124">
        <v>1.5</v>
      </c>
      <c r="BI37" s="194"/>
      <c r="BJ37" s="195"/>
      <c r="BK37" s="195"/>
      <c r="BL37" s="195"/>
      <c r="BM37" s="193"/>
      <c r="BP37" s="124">
        <f t="shared" si="5"/>
        <v>7</v>
      </c>
      <c r="BQ37" s="124">
        <f t="shared" si="6"/>
        <v>7</v>
      </c>
      <c r="BR37" s="124" t="s">
        <v>241</v>
      </c>
      <c r="BS37" s="194" t="s">
        <v>194</v>
      </c>
      <c r="BT37" s="195" t="s">
        <v>86</v>
      </c>
      <c r="BU37" s="193">
        <f>$AA$1</f>
        <v>300</v>
      </c>
      <c r="BV37" s="124">
        <f>$AE$77*$AR$83</f>
        <v>8</v>
      </c>
      <c r="BW37" s="194"/>
      <c r="BX37" s="195"/>
      <c r="BY37" s="195"/>
      <c r="BZ37" s="195"/>
      <c r="CA37" s="193"/>
      <c r="CC37" s="124" t="s">
        <v>241</v>
      </c>
      <c r="CD37" s="194" t="s">
        <v>194</v>
      </c>
      <c r="CE37" s="195" t="s">
        <v>86</v>
      </c>
      <c r="CF37" s="193">
        <f>$AA$1</f>
        <v>300</v>
      </c>
      <c r="CG37" s="124">
        <f>$AE$77*$AR$83</f>
        <v>8</v>
      </c>
      <c r="CH37" s="124" t="str">
        <f>$AS$83</f>
        <v>НЕРЖ</v>
      </c>
      <c r="CI37" s="124">
        <v>1.5</v>
      </c>
      <c r="CJ37" s="124">
        <v>4</v>
      </c>
      <c r="CK37" s="124">
        <f t="shared" si="2"/>
        <v>32</v>
      </c>
      <c r="CL37" s="124"/>
      <c r="CN37">
        <f>IF(CF37&lt;1999,CG37*0.024,IF(CF37&gt;2000,CG37*0.034,"0"))</f>
        <v>0.192</v>
      </c>
      <c r="CQ37" s="124">
        <f t="shared" si="3"/>
        <v>7</v>
      </c>
      <c r="CR37" s="124">
        <f t="shared" si="4"/>
        <v>7</v>
      </c>
      <c r="CS37" s="124" t="s">
        <v>19</v>
      </c>
      <c r="CT37" s="194" t="s">
        <v>111</v>
      </c>
      <c r="CU37" s="195" t="s">
        <v>86</v>
      </c>
      <c r="CV37" s="193">
        <f>$AC$1</f>
        <v>300</v>
      </c>
      <c r="CW37" s="124">
        <f>$AE$77*$AT$89</f>
        <v>8</v>
      </c>
      <c r="CX37" s="124" t="str">
        <f>$AU$89</f>
        <v>НЕРЖ</v>
      </c>
      <c r="CY37" s="124">
        <v>1.5</v>
      </c>
      <c r="CZ37" s="194"/>
      <c r="DA37" s="195"/>
      <c r="DB37" s="195"/>
      <c r="DC37" s="195"/>
      <c r="DD37" s="193"/>
    </row>
    <row r="38" spans="1:108" ht="18">
      <c r="A38" s="16"/>
      <c r="B38" s="5"/>
      <c r="C38" s="5"/>
      <c r="D38" s="5"/>
      <c r="E38" s="5"/>
      <c r="F38" s="5"/>
      <c r="G38" s="5"/>
      <c r="H38" s="13" t="s">
        <v>18</v>
      </c>
      <c r="I38" s="4">
        <v>1.5</v>
      </c>
      <c r="J38" s="23" t="s">
        <v>4</v>
      </c>
      <c r="K38" s="6"/>
      <c r="L38" s="5"/>
      <c r="M38" s="16"/>
      <c r="N38" s="5"/>
      <c r="O38" s="5"/>
      <c r="P38" s="5"/>
      <c r="Q38" s="5"/>
      <c r="R38" s="5"/>
      <c r="S38" s="5"/>
      <c r="T38" s="5"/>
      <c r="U38" s="4"/>
      <c r="V38" s="12"/>
      <c r="W38" s="2"/>
      <c r="X38" s="2"/>
      <c r="AD38" t="s">
        <v>236</v>
      </c>
      <c r="AE38" s="242" t="s">
        <v>80</v>
      </c>
      <c r="AF38" s="242" t="s">
        <v>69</v>
      </c>
      <c r="AG38" s="245" t="s">
        <v>70</v>
      </c>
      <c r="AH38" s="246"/>
      <c r="AI38" s="246"/>
      <c r="AJ38" s="247"/>
      <c r="AK38" s="254" t="s">
        <v>93</v>
      </c>
      <c r="AL38" s="254"/>
      <c r="AM38" s="254"/>
      <c r="AN38" s="254"/>
      <c r="AO38" s="254"/>
      <c r="AP38" s="254"/>
      <c r="AQ38" s="101" t="s">
        <v>122</v>
      </c>
      <c r="AR38" s="101"/>
      <c r="AS38" s="101"/>
      <c r="AT38" s="101" t="s">
        <v>123</v>
      </c>
      <c r="AU38" s="101" t="s">
        <v>124</v>
      </c>
      <c r="AV38" s="236" t="s">
        <v>127</v>
      </c>
      <c r="BB38" s="124" t="s">
        <v>19</v>
      </c>
      <c r="BC38" s="194" t="s">
        <v>111</v>
      </c>
      <c r="BD38" s="195" t="s">
        <v>86</v>
      </c>
      <c r="BE38" s="193">
        <f>$AC$1</f>
        <v>300</v>
      </c>
      <c r="BF38" s="124">
        <f>$AE$77*$AT$89</f>
        <v>8</v>
      </c>
      <c r="BG38" s="124" t="str">
        <f>$AU$89</f>
        <v>НЕРЖ</v>
      </c>
      <c r="BH38" s="124">
        <v>1.5</v>
      </c>
      <c r="BI38" s="194"/>
      <c r="BJ38" s="195"/>
      <c r="BK38" s="195"/>
      <c r="BL38" s="195"/>
      <c r="BM38" s="193"/>
      <c r="BP38" s="124">
        <f t="shared" si="5"/>
        <v>7</v>
      </c>
      <c r="BQ38" s="124">
        <f t="shared" si="6"/>
        <v>7</v>
      </c>
      <c r="BR38" s="124" t="s">
        <v>19</v>
      </c>
      <c r="BS38" s="194" t="s">
        <v>111</v>
      </c>
      <c r="BT38" s="195" t="s">
        <v>86</v>
      </c>
      <c r="BU38" s="193">
        <f>$AC$1</f>
        <v>300</v>
      </c>
      <c r="BV38" s="124">
        <f>$AE$77*$AT$89</f>
        <v>8</v>
      </c>
      <c r="BW38" s="194"/>
      <c r="BX38" s="195"/>
      <c r="BY38" s="195"/>
      <c r="BZ38" s="195"/>
      <c r="CA38" s="193"/>
      <c r="CC38" s="124" t="s">
        <v>19</v>
      </c>
      <c r="CD38" s="194" t="s">
        <v>111</v>
      </c>
      <c r="CE38" s="195" t="s">
        <v>86</v>
      </c>
      <c r="CF38" s="193">
        <f>$AC$1</f>
        <v>300</v>
      </c>
      <c r="CG38" s="124">
        <f>$AE$77*$AT$89</f>
        <v>8</v>
      </c>
      <c r="CH38" s="124" t="str">
        <f>$AU$89</f>
        <v>НЕРЖ</v>
      </c>
      <c r="CI38" s="124">
        <v>1.5</v>
      </c>
      <c r="CJ38" s="124">
        <v>4</v>
      </c>
      <c r="CK38" s="124">
        <f t="shared" si="2"/>
        <v>32</v>
      </c>
      <c r="CL38" s="124"/>
      <c r="CN38">
        <f>IF(CF38&lt;1999,CG38*0.024,IF(CF38&gt;2000,CG38*0.034,"0"))</f>
        <v>0.192</v>
      </c>
      <c r="CQ38" s="124">
        <f t="shared" si="3"/>
        <v>7</v>
      </c>
      <c r="CR38" s="124">
        <f t="shared" si="4"/>
        <v>7</v>
      </c>
      <c r="CS38" s="124" t="s">
        <v>244</v>
      </c>
      <c r="CT38" s="194" t="s">
        <v>122</v>
      </c>
      <c r="CU38" s="195" t="s">
        <v>86</v>
      </c>
      <c r="CV38" s="193">
        <f t="shared" ref="CV38:CV42" si="14">$AC$1</f>
        <v>300</v>
      </c>
      <c r="CW38" s="124">
        <f>$AE$77*$AQ$95</f>
        <v>8</v>
      </c>
      <c r="CX38" s="124" t="str">
        <f>$AR$95</f>
        <v>НЕРЖ</v>
      </c>
      <c r="CY38" s="124">
        <v>1</v>
      </c>
      <c r="CZ38" s="194"/>
      <c r="DA38" s="195"/>
      <c r="DB38" s="195"/>
      <c r="DC38" s="195"/>
      <c r="DD38" s="193"/>
    </row>
    <row r="39" spans="1:108" ht="18.75" thickBot="1">
      <c r="A39" s="16"/>
      <c r="B39" s="5"/>
      <c r="C39" s="5"/>
      <c r="D39" s="5"/>
      <c r="E39" s="5"/>
      <c r="F39" s="5"/>
      <c r="G39" s="5"/>
      <c r="H39" s="13" t="s">
        <v>61</v>
      </c>
      <c r="I39" s="4">
        <f>F2+3</f>
        <v>303</v>
      </c>
      <c r="J39" s="23" t="s">
        <v>4</v>
      </c>
      <c r="K39" s="6"/>
      <c r="L39" s="5"/>
      <c r="M39" s="18"/>
      <c r="N39" s="10"/>
      <c r="O39" s="10"/>
      <c r="P39" s="10"/>
      <c r="Q39" s="10"/>
      <c r="R39" s="10"/>
      <c r="S39" s="10"/>
      <c r="T39" s="10"/>
      <c r="U39" s="9"/>
      <c r="V39" s="58"/>
      <c r="W39" s="2"/>
      <c r="X39" s="2"/>
      <c r="AE39" s="243"/>
      <c r="AF39" s="243"/>
      <c r="AG39" s="248"/>
      <c r="AH39" s="249"/>
      <c r="AI39" s="249"/>
      <c r="AJ39" s="250"/>
      <c r="AK39" s="254"/>
      <c r="AL39" s="254"/>
      <c r="AM39" s="254"/>
      <c r="AN39" s="254"/>
      <c r="AO39" s="254"/>
      <c r="AP39" s="254"/>
      <c r="AQ39" s="229" t="s">
        <v>125</v>
      </c>
      <c r="AR39" s="229"/>
      <c r="AS39" s="229"/>
      <c r="AT39" s="229"/>
      <c r="AU39" s="229"/>
      <c r="AV39" s="237"/>
      <c r="BB39" s="124" t="s">
        <v>244</v>
      </c>
      <c r="BC39" s="194" t="s">
        <v>122</v>
      </c>
      <c r="BD39" s="195" t="s">
        <v>86</v>
      </c>
      <c r="BE39" s="193">
        <f t="shared" ref="BE39:BE43" si="15">$AC$1</f>
        <v>300</v>
      </c>
      <c r="BF39" s="124">
        <f>$AE$77*$AQ$95</f>
        <v>8</v>
      </c>
      <c r="BG39" s="124" t="str">
        <f>$AR$95</f>
        <v>НЕРЖ</v>
      </c>
      <c r="BH39" s="124">
        <v>1</v>
      </c>
      <c r="BI39" s="194"/>
      <c r="BJ39" s="195"/>
      <c r="BK39" s="195"/>
      <c r="BL39" s="195"/>
      <c r="BM39" s="193"/>
      <c r="BP39" s="124">
        <f t="shared" si="5"/>
        <v>7</v>
      </c>
      <c r="BQ39" s="124">
        <f t="shared" si="6"/>
        <v>7</v>
      </c>
      <c r="BR39" s="124" t="s">
        <v>244</v>
      </c>
      <c r="BS39" s="194" t="s">
        <v>122</v>
      </c>
      <c r="BT39" s="195" t="s">
        <v>86</v>
      </c>
      <c r="BU39" s="193">
        <f t="shared" ref="BU39:BU43" si="16">$AC$1</f>
        <v>300</v>
      </c>
      <c r="BV39" s="124">
        <f>$AE$77*$AQ$95</f>
        <v>8</v>
      </c>
      <c r="BW39" s="194"/>
      <c r="BX39" s="195"/>
      <c r="BY39" s="195"/>
      <c r="BZ39" s="195"/>
      <c r="CA39" s="193"/>
      <c r="CC39" s="124" t="s">
        <v>244</v>
      </c>
      <c r="CD39" s="194" t="s">
        <v>122</v>
      </c>
      <c r="CE39" s="195" t="s">
        <v>86</v>
      </c>
      <c r="CF39" s="193">
        <f t="shared" ref="CF39:CF43" si="17">$AC$1</f>
        <v>300</v>
      </c>
      <c r="CG39" s="124">
        <f>$AE$77*$AQ$95</f>
        <v>8</v>
      </c>
      <c r="CH39" s="124" t="str">
        <f>$AR$95</f>
        <v>НЕРЖ</v>
      </c>
      <c r="CI39" s="124">
        <v>1</v>
      </c>
      <c r="CJ39" s="124">
        <v>3</v>
      </c>
      <c r="CK39" s="124">
        <f t="shared" si="2"/>
        <v>24</v>
      </c>
      <c r="CL39" s="124"/>
      <c r="CN39">
        <f>IF(CF39&lt;1999,CG39*0.017,IF(CF39&gt;2000,CG39*0.027,"0"))</f>
        <v>0.13600000000000001</v>
      </c>
      <c r="CQ39" s="124">
        <f t="shared" si="3"/>
        <v>7</v>
      </c>
      <c r="CR39" s="124">
        <f t="shared" si="4"/>
        <v>7</v>
      </c>
      <c r="CS39" s="124" t="s">
        <v>247</v>
      </c>
      <c r="CT39" s="194" t="s">
        <v>31</v>
      </c>
      <c r="CU39" s="195" t="s">
        <v>86</v>
      </c>
      <c r="CV39" s="193">
        <f t="shared" si="14"/>
        <v>300</v>
      </c>
      <c r="CW39" s="124">
        <f>$AE$77*$AT$101</f>
        <v>4</v>
      </c>
      <c r="CX39" s="222" t="str">
        <f>$AQ$101</f>
        <v>ДПРНП 1,2 НД Л63</v>
      </c>
      <c r="CY39" s="223"/>
      <c r="CZ39" s="194"/>
      <c r="DA39" s="195"/>
      <c r="DB39" s="195"/>
      <c r="DC39" s="195"/>
      <c r="DD39" s="193"/>
    </row>
    <row r="40" spans="1:108" ht="18">
      <c r="A40" s="16"/>
      <c r="B40" s="5"/>
      <c r="C40" s="5"/>
      <c r="D40" s="5"/>
      <c r="E40" s="5"/>
      <c r="F40" s="5"/>
      <c r="G40" s="5"/>
      <c r="H40" s="13" t="s">
        <v>63</v>
      </c>
      <c r="I40" s="4">
        <f>(F2+30)/I43</f>
        <v>110</v>
      </c>
      <c r="J40" s="23" t="s">
        <v>4</v>
      </c>
      <c r="K40" s="6"/>
      <c r="L40" s="5"/>
      <c r="M40" s="15"/>
      <c r="N40" s="8"/>
      <c r="O40" s="8"/>
      <c r="P40" s="8"/>
      <c r="Q40" s="8"/>
      <c r="R40" s="8"/>
      <c r="S40" s="8"/>
      <c r="T40" s="28" t="s">
        <v>111</v>
      </c>
      <c r="U40" s="8"/>
      <c r="V40" s="11"/>
      <c r="W40" s="2"/>
      <c r="X40" s="2"/>
      <c r="AE40" s="244"/>
      <c r="AF40" s="244"/>
      <c r="AG40" s="251"/>
      <c r="AH40" s="252"/>
      <c r="AI40" s="252"/>
      <c r="AJ40" s="253"/>
      <c r="AK40" s="99" t="s">
        <v>97</v>
      </c>
      <c r="AL40" s="99" t="s">
        <v>118</v>
      </c>
      <c r="AM40" s="99" t="s">
        <v>119</v>
      </c>
      <c r="AN40" s="99" t="s">
        <v>120</v>
      </c>
      <c r="AO40" s="99" t="s">
        <v>121</v>
      </c>
      <c r="AP40" s="99" t="s">
        <v>110</v>
      </c>
      <c r="AQ40" s="287" t="s">
        <v>78</v>
      </c>
      <c r="AR40" s="287"/>
      <c r="AS40" s="287"/>
      <c r="AT40" s="157" t="s">
        <v>78</v>
      </c>
      <c r="AU40" s="157" t="s">
        <v>78</v>
      </c>
      <c r="AV40" s="238"/>
      <c r="BB40" s="124" t="s">
        <v>247</v>
      </c>
      <c r="BC40" s="194" t="s">
        <v>31</v>
      </c>
      <c r="BD40" s="195" t="s">
        <v>86</v>
      </c>
      <c r="BE40" s="193">
        <f t="shared" si="15"/>
        <v>300</v>
      </c>
      <c r="BF40" s="124">
        <f>$AE$77*$AT$101</f>
        <v>4</v>
      </c>
      <c r="BG40" s="222" t="str">
        <f>$AQ$101</f>
        <v>ДПРНП 1,2 НД Л63</v>
      </c>
      <c r="BH40" s="223"/>
      <c r="BI40" s="194"/>
      <c r="BJ40" s="195"/>
      <c r="BK40" s="195"/>
      <c r="BL40" s="195"/>
      <c r="BM40" s="193"/>
      <c r="BP40" s="124">
        <f t="shared" si="5"/>
        <v>7</v>
      </c>
      <c r="BQ40" s="124">
        <f t="shared" si="6"/>
        <v>7</v>
      </c>
      <c r="BR40" s="124" t="s">
        <v>247</v>
      </c>
      <c r="BS40" s="194" t="s">
        <v>31</v>
      </c>
      <c r="BT40" s="195" t="s">
        <v>86</v>
      </c>
      <c r="BU40" s="193">
        <f t="shared" si="16"/>
        <v>300</v>
      </c>
      <c r="BV40" s="124">
        <f>$AE$77*$AT$101</f>
        <v>4</v>
      </c>
      <c r="BW40" s="194"/>
      <c r="BX40" s="195"/>
      <c r="BY40" s="195"/>
      <c r="BZ40" s="195"/>
      <c r="CA40" s="193"/>
      <c r="CC40" s="124" t="s">
        <v>247</v>
      </c>
      <c r="CD40" s="194" t="s">
        <v>31</v>
      </c>
      <c r="CE40" s="195" t="s">
        <v>86</v>
      </c>
      <c r="CF40" s="193">
        <f t="shared" si="17"/>
        <v>300</v>
      </c>
      <c r="CG40" s="124">
        <f>$AE$77*$AT$101</f>
        <v>4</v>
      </c>
      <c r="CH40" s="222" t="str">
        <f>$AQ$101</f>
        <v>ДПРНП 1,2 НД Л63</v>
      </c>
      <c r="CI40" s="223"/>
      <c r="CJ40" s="124">
        <v>1</v>
      </c>
      <c r="CK40" s="124">
        <f t="shared" si="2"/>
        <v>4</v>
      </c>
      <c r="CL40" s="124"/>
      <c r="CN40">
        <f>IF(CF40&lt;1999,CG40*0.006,IF(CF40&gt;2000,CG40*0.01,"0"))</f>
        <v>2.4E-2</v>
      </c>
      <c r="CQ40" s="124">
        <f t="shared" si="3"/>
        <v>7</v>
      </c>
      <c r="CR40" s="124">
        <f t="shared" si="4"/>
        <v>7</v>
      </c>
      <c r="CS40" s="124" t="s">
        <v>199</v>
      </c>
      <c r="CT40" s="194" t="s">
        <v>198</v>
      </c>
      <c r="CU40" s="195" t="s">
        <v>86</v>
      </c>
      <c r="CV40" s="193">
        <f t="shared" si="14"/>
        <v>300</v>
      </c>
      <c r="CW40" s="124">
        <f>$AE$77*$AT$108</f>
        <v>4</v>
      </c>
      <c r="CX40" s="222" t="str">
        <f>$AQ$108</f>
        <v>ДПРНП 1,2 НД Л63</v>
      </c>
      <c r="CY40" s="223"/>
      <c r="CZ40" s="194"/>
      <c r="DA40" s="195"/>
      <c r="DB40" s="195"/>
      <c r="DC40" s="195"/>
      <c r="DD40" s="193"/>
    </row>
    <row r="41" spans="1:108" ht="18">
      <c r="A41" s="16"/>
      <c r="B41" s="5"/>
      <c r="C41" s="5"/>
      <c r="D41" s="5"/>
      <c r="E41" s="5"/>
      <c r="F41" s="5"/>
      <c r="G41" s="5"/>
      <c r="H41" s="13" t="s">
        <v>21</v>
      </c>
      <c r="I41" s="4">
        <f>F2-24</f>
        <v>276</v>
      </c>
      <c r="J41" s="23" t="s">
        <v>4</v>
      </c>
      <c r="K41" s="6"/>
      <c r="L41" s="5"/>
      <c r="M41" s="16"/>
      <c r="N41" s="5"/>
      <c r="O41" s="5"/>
      <c r="P41" s="5"/>
      <c r="Q41" s="5"/>
      <c r="R41" s="5"/>
      <c r="S41" s="5"/>
      <c r="T41" s="22" t="s">
        <v>19</v>
      </c>
      <c r="U41" s="22"/>
      <c r="V41" s="12"/>
      <c r="W41" s="2"/>
      <c r="X41" s="2"/>
      <c r="AD41">
        <f>(AQ41+AT41+AU41)*AE23</f>
        <v>0</v>
      </c>
      <c r="AE41" s="158">
        <f>$X$1</f>
        <v>7</v>
      </c>
      <c r="AF41" s="158">
        <f>$Y$1</f>
        <v>7</v>
      </c>
      <c r="AG41" s="239" t="str">
        <f>CONCATENATE( $Z$1," ",$AA$1,"X",$AC$1)</f>
        <v>Тюльпан 2-B 300X300</v>
      </c>
      <c r="AH41" s="260"/>
      <c r="AI41" s="260"/>
      <c r="AJ41" s="240"/>
      <c r="AK41" s="154">
        <f>'Лист1 (2)'!$F$52</f>
        <v>125</v>
      </c>
      <c r="AL41" s="154">
        <f>'Лист1 (2)'!$F$53</f>
        <v>114</v>
      </c>
      <c r="AM41" s="154">
        <f>'Лист1 (2)'!$F$54</f>
        <v>32</v>
      </c>
      <c r="AN41" s="154">
        <f>'Лист1 (2)'!$F$55</f>
        <v>155</v>
      </c>
      <c r="AO41" s="154">
        <f>'Лист1 (2)'!$I$54</f>
        <v>294</v>
      </c>
      <c r="AP41" s="154">
        <f>'Лист1 (2)'!$I$55</f>
        <v>276</v>
      </c>
      <c r="AQ41" s="288">
        <f>IF($Z$2=1,0,1)*$AI$1</f>
        <v>4</v>
      </c>
      <c r="AR41" s="288"/>
      <c r="AS41" s="288"/>
      <c r="AT41" s="156">
        <f>IF($Z$2=1,0,'Лист1 (2)'!$F$56-1)*$AI$1</f>
        <v>4</v>
      </c>
      <c r="AU41" s="156">
        <f>IF($Z$2=1,'Лист1 (2)'!$F$56,0)*$AI$1</f>
        <v>0</v>
      </c>
      <c r="AV41" s="158" t="str">
        <f>IF($AE$2=1,"ОЦ",IF($AE$2=2,"НЕРЖ",""))</f>
        <v>НЕРЖ</v>
      </c>
      <c r="BB41" s="124" t="s">
        <v>199</v>
      </c>
      <c r="BC41" s="194" t="s">
        <v>198</v>
      </c>
      <c r="BD41" s="195" t="s">
        <v>86</v>
      </c>
      <c r="BE41" s="193">
        <f t="shared" si="15"/>
        <v>300</v>
      </c>
      <c r="BF41" s="124">
        <f>$AE$77*$AT$108</f>
        <v>4</v>
      </c>
      <c r="BG41" s="222" t="str">
        <f>$AQ$108</f>
        <v>ДПРНП 1,2 НД Л63</v>
      </c>
      <c r="BH41" s="223"/>
      <c r="BI41" s="194"/>
      <c r="BJ41" s="195"/>
      <c r="BK41" s="195"/>
      <c r="BL41" s="195"/>
      <c r="BM41" s="193"/>
      <c r="BP41" s="124">
        <f t="shared" si="5"/>
        <v>7</v>
      </c>
      <c r="BQ41" s="124">
        <f t="shared" si="6"/>
        <v>7</v>
      </c>
      <c r="BR41" s="124" t="s">
        <v>199</v>
      </c>
      <c r="BS41" s="194" t="s">
        <v>198</v>
      </c>
      <c r="BT41" s="195" t="s">
        <v>86</v>
      </c>
      <c r="BU41" s="193">
        <f t="shared" si="16"/>
        <v>300</v>
      </c>
      <c r="BV41" s="124">
        <f>$AE$77*$AT$108</f>
        <v>4</v>
      </c>
      <c r="BW41" s="194"/>
      <c r="BX41" s="195"/>
      <c r="BY41" s="195"/>
      <c r="BZ41" s="195"/>
      <c r="CA41" s="193"/>
      <c r="CC41" s="124" t="s">
        <v>199</v>
      </c>
      <c r="CD41" s="194" t="s">
        <v>198</v>
      </c>
      <c r="CE41" s="195" t="s">
        <v>86</v>
      </c>
      <c r="CF41" s="193">
        <f t="shared" si="17"/>
        <v>300</v>
      </c>
      <c r="CG41" s="124">
        <f>$AE$77*$AT$108</f>
        <v>4</v>
      </c>
      <c r="CH41" s="222" t="str">
        <f>$AQ$108</f>
        <v>ДПРНП 1,2 НД Л63</v>
      </c>
      <c r="CI41" s="223"/>
      <c r="CJ41" s="124">
        <v>0</v>
      </c>
      <c r="CK41" s="124">
        <f t="shared" si="2"/>
        <v>0</v>
      </c>
      <c r="CL41" s="124"/>
      <c r="CQ41" s="124">
        <f t="shared" si="3"/>
        <v>7</v>
      </c>
      <c r="CR41" s="124">
        <f t="shared" si="4"/>
        <v>7</v>
      </c>
      <c r="CS41" s="124" t="s">
        <v>36</v>
      </c>
      <c r="CT41" s="194" t="s">
        <v>34</v>
      </c>
      <c r="CU41" s="195" t="s">
        <v>86</v>
      </c>
      <c r="CV41" s="193">
        <f t="shared" si="14"/>
        <v>300</v>
      </c>
      <c r="CW41" s="124">
        <f>$AE$77*$AT$114</f>
        <v>8</v>
      </c>
      <c r="CX41" s="124" t="str">
        <f>$AQ$114</f>
        <v>НЕРЖ</v>
      </c>
      <c r="CY41" s="124">
        <v>1</v>
      </c>
      <c r="CZ41" s="194"/>
      <c r="DA41" s="195"/>
      <c r="DB41" s="195"/>
      <c r="DC41" s="195"/>
      <c r="DD41" s="193"/>
    </row>
    <row r="42" spans="1:108" ht="18">
      <c r="A42" s="16"/>
      <c r="B42" s="5"/>
      <c r="C42" s="5"/>
      <c r="D42" s="5"/>
      <c r="E42" s="5"/>
      <c r="F42" s="5"/>
      <c r="G42" s="5"/>
      <c r="H42" s="13" t="s">
        <v>22</v>
      </c>
      <c r="I42" s="4">
        <f>I41/F16</f>
        <v>92</v>
      </c>
      <c r="J42" s="23" t="s">
        <v>4</v>
      </c>
      <c r="K42" s="6"/>
      <c r="L42" s="5"/>
      <c r="M42" s="16"/>
      <c r="N42" s="5"/>
      <c r="O42" s="5"/>
      <c r="P42" s="13" t="s">
        <v>263</v>
      </c>
      <c r="Q42" s="4">
        <f>U45-13.5</f>
        <v>96.5</v>
      </c>
      <c r="R42" s="23" t="s">
        <v>4</v>
      </c>
      <c r="S42" s="5"/>
      <c r="T42" s="13" t="s">
        <v>18</v>
      </c>
      <c r="U42" s="4">
        <v>1.5</v>
      </c>
      <c r="V42" s="23" t="s">
        <v>4</v>
      </c>
      <c r="W42" s="2"/>
      <c r="X42" s="2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BB42" s="124" t="s">
        <v>36</v>
      </c>
      <c r="BC42" s="194" t="s">
        <v>34</v>
      </c>
      <c r="BD42" s="195" t="s">
        <v>86</v>
      </c>
      <c r="BE42" s="193">
        <f t="shared" si="15"/>
        <v>300</v>
      </c>
      <c r="BF42" s="124">
        <f>$AE$77*$AT$114</f>
        <v>8</v>
      </c>
      <c r="BG42" s="124" t="str">
        <f>$AQ$114</f>
        <v>НЕРЖ</v>
      </c>
      <c r="BH42" s="124">
        <v>1</v>
      </c>
      <c r="BI42" s="194"/>
      <c r="BJ42" s="195"/>
      <c r="BK42" s="195"/>
      <c r="BL42" s="195"/>
      <c r="BM42" s="193"/>
      <c r="BP42" s="124">
        <f t="shared" si="5"/>
        <v>7</v>
      </c>
      <c r="BQ42" s="124">
        <f t="shared" si="6"/>
        <v>7</v>
      </c>
      <c r="BR42" s="124" t="s">
        <v>36</v>
      </c>
      <c r="BS42" s="194" t="s">
        <v>34</v>
      </c>
      <c r="BT42" s="195" t="s">
        <v>86</v>
      </c>
      <c r="BU42" s="193">
        <f t="shared" si="16"/>
        <v>300</v>
      </c>
      <c r="BV42" s="124">
        <f>$AE$77*$AT$114</f>
        <v>8</v>
      </c>
      <c r="BW42" s="194"/>
      <c r="BX42" s="195"/>
      <c r="BY42" s="195"/>
      <c r="BZ42" s="195"/>
      <c r="CA42" s="193"/>
      <c r="CC42" s="124" t="s">
        <v>36</v>
      </c>
      <c r="CD42" s="194" t="s">
        <v>34</v>
      </c>
      <c r="CE42" s="195" t="s">
        <v>86</v>
      </c>
      <c r="CF42" s="193">
        <f t="shared" si="17"/>
        <v>300</v>
      </c>
      <c r="CG42" s="124">
        <f>$AE$77*$AT$114</f>
        <v>8</v>
      </c>
      <c r="CH42" s="124" t="str">
        <f>$AQ$114</f>
        <v>НЕРЖ</v>
      </c>
      <c r="CI42" s="124">
        <v>1</v>
      </c>
      <c r="CJ42" s="124">
        <v>2</v>
      </c>
      <c r="CK42" s="124">
        <f t="shared" si="2"/>
        <v>16</v>
      </c>
      <c r="CL42" s="124"/>
      <c r="CN42">
        <f>IF(CF42&lt;1999,CG42*0.024,IF(CF42&gt;2000,CG42*0.034,"0"))</f>
        <v>0.192</v>
      </c>
      <c r="CQ42" s="124">
        <f t="shared" si="3"/>
        <v>7</v>
      </c>
      <c r="CR42" s="124">
        <f t="shared" si="4"/>
        <v>7</v>
      </c>
      <c r="CS42" s="124" t="s">
        <v>203</v>
      </c>
      <c r="CT42" s="194" t="s">
        <v>200</v>
      </c>
      <c r="CU42" s="195" t="s">
        <v>86</v>
      </c>
      <c r="CV42" s="193">
        <f t="shared" si="14"/>
        <v>300</v>
      </c>
      <c r="CW42" s="124">
        <f>$AE$77*$AT$120</f>
        <v>4</v>
      </c>
      <c r="CX42" s="124" t="str">
        <f>$AS$120</f>
        <v>НЕРЖ</v>
      </c>
      <c r="CY42" s="124">
        <v>1.5</v>
      </c>
      <c r="CZ42" s="194"/>
      <c r="DA42" s="195"/>
      <c r="DB42" s="195"/>
      <c r="DC42" s="195"/>
      <c r="DD42" s="193"/>
    </row>
    <row r="43" spans="1:108" ht="18.75">
      <c r="A43" s="16"/>
      <c r="B43" s="5"/>
      <c r="C43" s="5"/>
      <c r="D43" s="5"/>
      <c r="E43" s="5"/>
      <c r="F43" s="5"/>
      <c r="G43" s="5"/>
      <c r="H43" s="4" t="s">
        <v>23</v>
      </c>
      <c r="I43" s="4">
        <f>F16</f>
        <v>3</v>
      </c>
      <c r="J43" s="23"/>
      <c r="K43" s="6"/>
      <c r="L43" s="5"/>
      <c r="M43" s="16"/>
      <c r="N43" s="5"/>
      <c r="O43" s="5"/>
      <c r="P43" s="5"/>
      <c r="Q43" s="5"/>
      <c r="R43" s="5"/>
      <c r="S43" s="5"/>
      <c r="T43" s="13" t="s">
        <v>61</v>
      </c>
      <c r="U43" s="4">
        <f>P2+3</f>
        <v>303</v>
      </c>
      <c r="V43" s="23" t="s">
        <v>4</v>
      </c>
      <c r="W43" s="2"/>
      <c r="X43" s="2"/>
      <c r="AD43" t="s">
        <v>236</v>
      </c>
      <c r="AE43" s="235" t="s">
        <v>126</v>
      </c>
      <c r="AF43" s="235"/>
      <c r="AG43" s="235"/>
      <c r="AH43" s="235"/>
      <c r="AI43" s="235"/>
      <c r="AJ43" s="235"/>
      <c r="AK43" s="235"/>
      <c r="AL43" s="235"/>
      <c r="AM43" s="235"/>
      <c r="AN43" s="235"/>
      <c r="AO43" s="235"/>
      <c r="AP43" s="235"/>
      <c r="AQ43" s="235"/>
      <c r="AR43" s="235"/>
      <c r="AS43" s="235"/>
      <c r="AT43" s="235"/>
      <c r="AU43" s="235"/>
      <c r="BB43" s="124" t="s">
        <v>203</v>
      </c>
      <c r="BC43" s="194" t="s">
        <v>200</v>
      </c>
      <c r="BD43" s="195" t="s">
        <v>86</v>
      </c>
      <c r="BE43" s="193">
        <f t="shared" si="15"/>
        <v>300</v>
      </c>
      <c r="BF43" s="124">
        <f>$AE$77*$AT$120</f>
        <v>4</v>
      </c>
      <c r="BG43" s="124" t="str">
        <f>$AS$120</f>
        <v>НЕРЖ</v>
      </c>
      <c r="BH43" s="124">
        <v>1.5</v>
      </c>
      <c r="BI43" s="194"/>
      <c r="BJ43" s="195"/>
      <c r="BK43" s="195"/>
      <c r="BL43" s="195"/>
      <c r="BM43" s="193"/>
      <c r="BP43" s="124">
        <f t="shared" si="5"/>
        <v>7</v>
      </c>
      <c r="BQ43" s="124">
        <f t="shared" si="6"/>
        <v>7</v>
      </c>
      <c r="BR43" s="124" t="s">
        <v>203</v>
      </c>
      <c r="BS43" s="194" t="s">
        <v>200</v>
      </c>
      <c r="BT43" s="195" t="s">
        <v>86</v>
      </c>
      <c r="BU43" s="193">
        <f t="shared" si="16"/>
        <v>300</v>
      </c>
      <c r="BV43" s="124">
        <f>$AE$77*$AT$120</f>
        <v>4</v>
      </c>
      <c r="BW43" s="194"/>
      <c r="BX43" s="195"/>
      <c r="BY43" s="195"/>
      <c r="BZ43" s="195"/>
      <c r="CA43" s="193"/>
      <c r="CC43" s="124" t="s">
        <v>203</v>
      </c>
      <c r="CD43" s="194" t="s">
        <v>200</v>
      </c>
      <c r="CE43" s="195" t="s">
        <v>86</v>
      </c>
      <c r="CF43" s="193">
        <f t="shared" si="17"/>
        <v>300</v>
      </c>
      <c r="CG43" s="124">
        <f>$AE$77*$AT$120</f>
        <v>4</v>
      </c>
      <c r="CH43" s="124" t="str">
        <f>$AS$120</f>
        <v>НЕРЖ</v>
      </c>
      <c r="CI43" s="124">
        <v>1.5</v>
      </c>
      <c r="CJ43" s="124">
        <v>6</v>
      </c>
      <c r="CK43" s="124">
        <f t="shared" si="2"/>
        <v>24</v>
      </c>
      <c r="CL43" s="124"/>
      <c r="CN43">
        <f>IF(CF43&lt;1999,CG43*0.035,IF(CF43&gt;2000,CG43*0.05,"0"))</f>
        <v>0.14000000000000001</v>
      </c>
      <c r="CQ43" s="124">
        <f t="shared" si="3"/>
        <v>7</v>
      </c>
      <c r="CR43" s="124">
        <f t="shared" si="4"/>
        <v>7</v>
      </c>
      <c r="CS43" s="124" t="s">
        <v>40</v>
      </c>
      <c r="CT43" s="194" t="s">
        <v>206</v>
      </c>
      <c r="CU43" s="195" t="s">
        <v>86</v>
      </c>
      <c r="CV43" s="193">
        <f>$AH$1</f>
        <v>300</v>
      </c>
      <c r="CW43" s="124">
        <f>$AE$77*$AT$126</f>
        <v>4</v>
      </c>
      <c r="CX43" s="124" t="str">
        <f>$AS$126</f>
        <v>НЕРЖ</v>
      </c>
      <c r="CY43" s="124">
        <v>1.5</v>
      </c>
      <c r="CZ43" s="194">
        <f>$AA$1</f>
        <v>300</v>
      </c>
      <c r="DA43" s="195" t="s">
        <v>85</v>
      </c>
      <c r="DB43" s="195">
        <f>$AC$1</f>
        <v>300</v>
      </c>
      <c r="DC43" s="195" t="s">
        <v>85</v>
      </c>
      <c r="DD43" s="193">
        <f>$AH$1</f>
        <v>300</v>
      </c>
    </row>
    <row r="44" spans="1:108" ht="18">
      <c r="A44" s="16"/>
      <c r="B44" s="20" t="s">
        <v>6</v>
      </c>
      <c r="C44" s="5"/>
      <c r="D44" s="4">
        <f>2</f>
        <v>2</v>
      </c>
      <c r="E44" s="5"/>
      <c r="F44" s="5"/>
      <c r="G44" s="6"/>
      <c r="H44" s="13" t="s">
        <v>24</v>
      </c>
      <c r="I44" s="4">
        <v>60</v>
      </c>
      <c r="J44" s="23" t="s">
        <v>4</v>
      </c>
      <c r="K44" s="6"/>
      <c r="L44" s="5"/>
      <c r="M44" s="16"/>
      <c r="N44" s="5"/>
      <c r="O44" s="5"/>
      <c r="P44" s="5"/>
      <c r="Q44" s="5"/>
      <c r="R44" s="5"/>
      <c r="S44" s="5"/>
      <c r="T44" s="13" t="s">
        <v>53</v>
      </c>
      <c r="U44" s="4">
        <f>P2+30</f>
        <v>330</v>
      </c>
      <c r="V44" s="23" t="s">
        <v>4</v>
      </c>
      <c r="W44" s="2"/>
      <c r="X44" s="2"/>
      <c r="AE44" s="242" t="s">
        <v>80</v>
      </c>
      <c r="AF44" s="242" t="s">
        <v>69</v>
      </c>
      <c r="AG44" s="245" t="s">
        <v>70</v>
      </c>
      <c r="AH44" s="246"/>
      <c r="AI44" s="246"/>
      <c r="AJ44" s="247"/>
      <c r="AK44" s="254" t="s">
        <v>93</v>
      </c>
      <c r="AL44" s="254"/>
      <c r="AM44" s="254"/>
      <c r="AN44" s="254"/>
      <c r="AO44" s="254"/>
      <c r="AP44" s="254"/>
      <c r="AQ44" s="255" t="s">
        <v>129</v>
      </c>
      <c r="AR44" s="255"/>
      <c r="AS44" s="255"/>
      <c r="AT44" s="229" t="s">
        <v>125</v>
      </c>
      <c r="AU44" s="6"/>
      <c r="BB44" s="124" t="s">
        <v>40</v>
      </c>
      <c r="BC44" s="194" t="s">
        <v>206</v>
      </c>
      <c r="BD44" s="195" t="s">
        <v>86</v>
      </c>
      <c r="BE44" s="193">
        <f>$AH$1</f>
        <v>300</v>
      </c>
      <c r="BF44" s="124">
        <f>$AE$77*$AT$126</f>
        <v>4</v>
      </c>
      <c r="BG44" s="124" t="str">
        <f>$AS$126</f>
        <v>НЕРЖ</v>
      </c>
      <c r="BH44" s="124">
        <v>1.5</v>
      </c>
      <c r="BI44" s="194">
        <f>$AA$1</f>
        <v>300</v>
      </c>
      <c r="BJ44" s="195" t="s">
        <v>85</v>
      </c>
      <c r="BK44" s="195">
        <f>$AC$1</f>
        <v>300</v>
      </c>
      <c r="BL44" s="195" t="s">
        <v>85</v>
      </c>
      <c r="BM44" s="193">
        <f>$AH$1</f>
        <v>300</v>
      </c>
      <c r="BP44" s="124">
        <f t="shared" si="5"/>
        <v>7</v>
      </c>
      <c r="BQ44" s="124">
        <f t="shared" si="6"/>
        <v>7</v>
      </c>
      <c r="BR44" s="124" t="s">
        <v>40</v>
      </c>
      <c r="BS44" s="194" t="s">
        <v>206</v>
      </c>
      <c r="BT44" s="195" t="s">
        <v>86</v>
      </c>
      <c r="BU44" s="193">
        <f>$AH$1</f>
        <v>300</v>
      </c>
      <c r="BV44" s="124">
        <f>$AE$77*$AT$126</f>
        <v>4</v>
      </c>
      <c r="BW44" s="194">
        <f>$AA$1</f>
        <v>300</v>
      </c>
      <c r="BX44" s="195" t="s">
        <v>85</v>
      </c>
      <c r="BY44" s="195">
        <f>$AC$1</f>
        <v>300</v>
      </c>
      <c r="BZ44" s="195" t="s">
        <v>85</v>
      </c>
      <c r="CA44" s="193">
        <f>$AH$1</f>
        <v>300</v>
      </c>
      <c r="CC44" s="124" t="s">
        <v>40</v>
      </c>
      <c r="CD44" s="194" t="s">
        <v>206</v>
      </c>
      <c r="CE44" s="195" t="s">
        <v>86</v>
      </c>
      <c r="CF44" s="193">
        <f>$AH$1</f>
        <v>300</v>
      </c>
      <c r="CG44" s="124">
        <f>$AE$77*$AT$126</f>
        <v>4</v>
      </c>
      <c r="CH44" s="124" t="str">
        <f>$AS$126</f>
        <v>НЕРЖ</v>
      </c>
      <c r="CI44" s="124">
        <v>1.5</v>
      </c>
      <c r="CJ44" s="124">
        <v>0</v>
      </c>
      <c r="CK44" s="124">
        <f t="shared" si="2"/>
        <v>0</v>
      </c>
      <c r="CL44" s="124"/>
      <c r="CQ44" s="124">
        <f t="shared" si="3"/>
        <v>7</v>
      </c>
      <c r="CR44" s="124">
        <f t="shared" si="4"/>
        <v>7</v>
      </c>
      <c r="CS44" s="124" t="s">
        <v>42</v>
      </c>
      <c r="CT44" s="194" t="s">
        <v>41</v>
      </c>
      <c r="CU44" s="195" t="s">
        <v>86</v>
      </c>
      <c r="CV44" s="193">
        <f>$AP$132</f>
        <v>29</v>
      </c>
      <c r="CW44" s="124">
        <f>$AE$77*$AN$132</f>
        <v>16</v>
      </c>
      <c r="CX44" s="222" t="str">
        <f>$AK$132</f>
        <v>ДПРНП 1,2 НД Л63</v>
      </c>
      <c r="CY44" s="223"/>
      <c r="CZ44" s="194"/>
      <c r="DA44" s="195"/>
      <c r="DB44" s="195"/>
      <c r="DC44" s="195"/>
      <c r="DD44" s="193"/>
    </row>
    <row r="45" spans="1:108" ht="18.75" thickBot="1">
      <c r="A45" s="18"/>
      <c r="B45" s="60" t="s">
        <v>7</v>
      </c>
      <c r="C45" s="9">
        <f>ROUNDUP(307*I38*I39*0.00785/1000,3)</f>
        <v>1.0959999999999999</v>
      </c>
      <c r="D45" s="9" t="s">
        <v>8</v>
      </c>
      <c r="E45" s="10"/>
      <c r="F45" s="10"/>
      <c r="G45" s="10"/>
      <c r="H45" s="60" t="s">
        <v>25</v>
      </c>
      <c r="I45" s="9">
        <v>35</v>
      </c>
      <c r="J45" s="27" t="s">
        <v>4</v>
      </c>
      <c r="K45" s="6"/>
      <c r="L45" s="5"/>
      <c r="M45" s="16"/>
      <c r="N45" s="5"/>
      <c r="O45" s="5"/>
      <c r="P45" s="5"/>
      <c r="Q45" s="5"/>
      <c r="R45" s="5"/>
      <c r="S45" s="5"/>
      <c r="T45" s="13" t="s">
        <v>63</v>
      </c>
      <c r="U45" s="4">
        <f>U44/U48</f>
        <v>110</v>
      </c>
      <c r="V45" s="23" t="s">
        <v>4</v>
      </c>
      <c r="W45" s="2"/>
      <c r="X45" s="2"/>
      <c r="AE45" s="243"/>
      <c r="AF45" s="243"/>
      <c r="AG45" s="248"/>
      <c r="AH45" s="249"/>
      <c r="AI45" s="249"/>
      <c r="AJ45" s="250"/>
      <c r="AK45" s="254"/>
      <c r="AL45" s="254"/>
      <c r="AM45" s="254"/>
      <c r="AN45" s="254"/>
      <c r="AO45" s="254"/>
      <c r="AP45" s="254"/>
      <c r="AQ45" s="255"/>
      <c r="AR45" s="255"/>
      <c r="AS45" s="255"/>
      <c r="AT45" s="229"/>
      <c r="AU45" s="6"/>
      <c r="BB45" s="124" t="s">
        <v>42</v>
      </c>
      <c r="BC45" s="194" t="s">
        <v>41</v>
      </c>
      <c r="BD45" s="195" t="s">
        <v>86</v>
      </c>
      <c r="BE45" s="193">
        <f>$AP$132</f>
        <v>29</v>
      </c>
      <c r="BF45" s="124">
        <f>$AE$77*$AN$132</f>
        <v>16</v>
      </c>
      <c r="BG45" s="222" t="str">
        <f>$AK$132</f>
        <v>ДПРНП 1,2 НД Л63</v>
      </c>
      <c r="BH45" s="223"/>
      <c r="BI45" s="194"/>
      <c r="BJ45" s="195"/>
      <c r="BK45" s="195"/>
      <c r="BL45" s="195"/>
      <c r="BM45" s="193"/>
      <c r="BP45" s="124">
        <f t="shared" si="5"/>
        <v>7</v>
      </c>
      <c r="BQ45" s="124">
        <f t="shared" si="6"/>
        <v>7</v>
      </c>
      <c r="BR45" s="124" t="s">
        <v>42</v>
      </c>
      <c r="BS45" s="194" t="s">
        <v>41</v>
      </c>
      <c r="BT45" s="195" t="s">
        <v>86</v>
      </c>
      <c r="BU45" s="193">
        <f>$AP$132</f>
        <v>29</v>
      </c>
      <c r="BV45" s="124">
        <f>$AE$77*$AN$132</f>
        <v>16</v>
      </c>
      <c r="BW45" s="194"/>
      <c r="BX45" s="195"/>
      <c r="BY45" s="195"/>
      <c r="BZ45" s="195"/>
      <c r="CA45" s="193"/>
      <c r="CC45" s="124" t="s">
        <v>42</v>
      </c>
      <c r="CD45" s="194" t="s">
        <v>41</v>
      </c>
      <c r="CE45" s="195" t="s">
        <v>86</v>
      </c>
      <c r="CF45" s="193">
        <f>$AP$132</f>
        <v>29</v>
      </c>
      <c r="CG45" s="124">
        <f>$AE$77*$AN$132</f>
        <v>16</v>
      </c>
      <c r="CH45" s="222" t="str">
        <f>$AK$132</f>
        <v>ДПРНП 1,2 НД Л63</v>
      </c>
      <c r="CI45" s="223"/>
      <c r="CJ45" s="124">
        <v>1</v>
      </c>
      <c r="CK45" s="124">
        <f t="shared" si="2"/>
        <v>16</v>
      </c>
      <c r="CL45" s="124"/>
      <c r="CN45">
        <f>IF(CF45&lt;1999,CG45*0.006,IF(CF45&gt;2000,CG45*0.01,"0"))</f>
        <v>9.6000000000000002E-2</v>
      </c>
      <c r="CQ45" s="124">
        <f t="shared" si="3"/>
        <v>7</v>
      </c>
      <c r="CR45" s="124">
        <f t="shared" si="4"/>
        <v>7</v>
      </c>
      <c r="CS45" s="124" t="s">
        <v>42</v>
      </c>
      <c r="CT45" s="194" t="s">
        <v>211</v>
      </c>
      <c r="CU45" s="195" t="s">
        <v>86</v>
      </c>
      <c r="CV45" s="193">
        <f>$AP$138</f>
        <v>29</v>
      </c>
      <c r="CW45" s="124">
        <f>$AE$77*$AN$138</f>
        <v>0</v>
      </c>
      <c r="CX45" s="222" t="str">
        <f t="shared" ref="CX45" si="18">$AK$138</f>
        <v>ДПРНП 1,2 НД Л63</v>
      </c>
      <c r="CY45" s="223"/>
      <c r="CZ45" s="194"/>
      <c r="DA45" s="195"/>
      <c r="DB45" s="195"/>
      <c r="DC45" s="195"/>
      <c r="DD45" s="193"/>
    </row>
    <row r="46" spans="1:108" ht="18">
      <c r="A46" s="63" t="s">
        <v>58</v>
      </c>
      <c r="B46" s="8"/>
      <c r="C46" s="8"/>
      <c r="D46" s="21" t="s">
        <v>52</v>
      </c>
      <c r="E46" s="7">
        <f>I39</f>
        <v>303</v>
      </c>
      <c r="F46" s="28" t="s">
        <v>4</v>
      </c>
      <c r="G46" s="21" t="s">
        <v>56</v>
      </c>
      <c r="H46" s="7">
        <f>B2+60</f>
        <v>360</v>
      </c>
      <c r="I46" s="28" t="s">
        <v>4</v>
      </c>
      <c r="J46" s="87"/>
      <c r="K46" s="6"/>
      <c r="L46" s="5"/>
      <c r="M46" s="16"/>
      <c r="N46" s="5"/>
      <c r="O46" s="5"/>
      <c r="P46" s="5"/>
      <c r="Q46" s="5"/>
      <c r="R46" s="5"/>
      <c r="S46" s="5"/>
      <c r="T46" s="13" t="s">
        <v>21</v>
      </c>
      <c r="U46" s="4">
        <f>P2-24</f>
        <v>276</v>
      </c>
      <c r="V46" s="23" t="s">
        <v>4</v>
      </c>
      <c r="W46" s="2"/>
      <c r="X46" s="2"/>
      <c r="AE46" s="244"/>
      <c r="AF46" s="244"/>
      <c r="AG46" s="251"/>
      <c r="AH46" s="252"/>
      <c r="AI46" s="252"/>
      <c r="AJ46" s="253"/>
      <c r="AK46" s="229" t="s">
        <v>128</v>
      </c>
      <c r="AL46" s="229"/>
      <c r="AM46" s="229"/>
      <c r="AN46" s="229"/>
      <c r="AO46" s="229" t="s">
        <v>110</v>
      </c>
      <c r="AP46" s="229"/>
      <c r="AQ46" s="255"/>
      <c r="AR46" s="255"/>
      <c r="AS46" s="255"/>
      <c r="AT46" s="89" t="s">
        <v>78</v>
      </c>
      <c r="AU46" s="6"/>
      <c r="BB46" s="124" t="s">
        <v>42</v>
      </c>
      <c r="BC46" s="194" t="s">
        <v>211</v>
      </c>
      <c r="BD46" s="195" t="s">
        <v>86</v>
      </c>
      <c r="BE46" s="193">
        <f>$AP$138</f>
        <v>29</v>
      </c>
      <c r="BF46" s="124">
        <f>$AE$77*$AN$138</f>
        <v>0</v>
      </c>
      <c r="BG46" s="222" t="str">
        <f t="shared" ref="BG46" si="19">$AK$138</f>
        <v>ДПРНП 1,2 НД Л63</v>
      </c>
      <c r="BH46" s="223"/>
      <c r="BI46" s="194"/>
      <c r="BJ46" s="195"/>
      <c r="BK46" s="195"/>
      <c r="BL46" s="195"/>
      <c r="BM46" s="193"/>
      <c r="BP46" s="124">
        <f t="shared" si="5"/>
        <v>7</v>
      </c>
      <c r="BQ46" s="124">
        <f t="shared" si="6"/>
        <v>7</v>
      </c>
      <c r="BR46" s="124" t="s">
        <v>42</v>
      </c>
      <c r="BS46" s="194" t="s">
        <v>211</v>
      </c>
      <c r="BT46" s="195" t="s">
        <v>86</v>
      </c>
      <c r="BU46" s="193">
        <f>$AP$138</f>
        <v>29</v>
      </c>
      <c r="BV46" s="124">
        <f>$AE$77*$AN$138</f>
        <v>0</v>
      </c>
      <c r="BW46" s="194"/>
      <c r="BX46" s="195"/>
      <c r="BY46" s="195"/>
      <c r="BZ46" s="195"/>
      <c r="CA46" s="193"/>
      <c r="CC46" s="124" t="s">
        <v>42</v>
      </c>
      <c r="CD46" s="194" t="s">
        <v>211</v>
      </c>
      <c r="CE46" s="195" t="s">
        <v>86</v>
      </c>
      <c r="CF46" s="193">
        <f>$AP$138</f>
        <v>29</v>
      </c>
      <c r="CG46" s="124">
        <f>$AE$77*$AN$138</f>
        <v>0</v>
      </c>
      <c r="CH46" s="222" t="str">
        <f t="shared" ref="CH46" si="20">$AK$138</f>
        <v>ДПРНП 1,2 НД Л63</v>
      </c>
      <c r="CI46" s="223"/>
      <c r="CJ46" s="124">
        <v>1</v>
      </c>
      <c r="CK46" s="124">
        <f t="shared" si="2"/>
        <v>0</v>
      </c>
      <c r="CL46" s="124"/>
      <c r="CN46">
        <f>IF(CF46&lt;1999,CG46*0.006,IF(CF46&gt;2000,CG46*0.01,"0"))</f>
        <v>0</v>
      </c>
    </row>
    <row r="47" spans="1:108" ht="18">
      <c r="A47" s="65" t="s">
        <v>40</v>
      </c>
      <c r="B47" s="6"/>
      <c r="C47" s="5"/>
      <c r="D47" s="13" t="s">
        <v>53</v>
      </c>
      <c r="E47" s="4">
        <f>F2+30</f>
        <v>330</v>
      </c>
      <c r="F47" s="24" t="s">
        <v>4</v>
      </c>
      <c r="G47" s="13" t="s">
        <v>57</v>
      </c>
      <c r="H47" s="4">
        <f>B2+30</f>
        <v>330</v>
      </c>
      <c r="I47" s="24" t="s">
        <v>4</v>
      </c>
      <c r="J47" s="14"/>
      <c r="K47" s="6"/>
      <c r="L47" s="5"/>
      <c r="M47" s="16"/>
      <c r="N47" s="5"/>
      <c r="O47" s="5"/>
      <c r="P47" s="5"/>
      <c r="Q47" s="5"/>
      <c r="R47" s="5"/>
      <c r="S47" s="5"/>
      <c r="T47" s="13" t="s">
        <v>22</v>
      </c>
      <c r="U47" s="4">
        <f>U46/R16</f>
        <v>92</v>
      </c>
      <c r="V47" s="23" t="s">
        <v>4</v>
      </c>
      <c r="W47" s="2"/>
      <c r="X47" s="2"/>
      <c r="AD47">
        <f>AT47*AE23</f>
        <v>0</v>
      </c>
      <c r="AE47" s="158">
        <f>$X$1</f>
        <v>7</v>
      </c>
      <c r="AF47" s="158">
        <f>$Y$1</f>
        <v>7</v>
      </c>
      <c r="AG47" s="239" t="str">
        <f>CONCATENATE( $Z$1," ",$AA$1,"X",$AC$1)</f>
        <v>Тюльпан 2-B 300X300</v>
      </c>
      <c r="AH47" s="260"/>
      <c r="AI47" s="260"/>
      <c r="AJ47" s="240"/>
      <c r="AK47" s="297">
        <f>'Лист1 (2)'!$E$57</f>
        <v>297</v>
      </c>
      <c r="AL47" s="297"/>
      <c r="AM47" s="297"/>
      <c r="AN47" s="297"/>
      <c r="AO47" s="297">
        <f>$E$58</f>
        <v>276</v>
      </c>
      <c r="AP47" s="297"/>
      <c r="AQ47" s="241" t="str">
        <f>IF($Z$2=1,"---","ДПРНП 1,2 НД Л63")</f>
        <v>ДПРНП 1,2 НД Л63</v>
      </c>
      <c r="AR47" s="241"/>
      <c r="AS47" s="241"/>
      <c r="AT47" s="158">
        <f>IF($Z$2=1,0,('Лист1 (2)'!$F$56*2)-1)*$AI$1</f>
        <v>12</v>
      </c>
      <c r="AU47" s="6"/>
    </row>
    <row r="48" spans="1:108" ht="18">
      <c r="A48" s="67" t="s">
        <v>18</v>
      </c>
      <c r="B48" s="4">
        <v>1.5</v>
      </c>
      <c r="C48" s="5"/>
      <c r="D48" s="13" t="s">
        <v>63</v>
      </c>
      <c r="E48" s="4">
        <f>I40</f>
        <v>110</v>
      </c>
      <c r="F48" s="24"/>
      <c r="G48" s="13" t="s">
        <v>64</v>
      </c>
      <c r="H48" s="4">
        <f>H47/H49</f>
        <v>110</v>
      </c>
      <c r="I48" s="24" t="s">
        <v>4</v>
      </c>
      <c r="J48" s="14"/>
      <c r="K48" s="6"/>
      <c r="L48" s="5"/>
      <c r="M48" s="16"/>
      <c r="N48" s="20" t="s">
        <v>6</v>
      </c>
      <c r="O48" s="5"/>
      <c r="P48" s="4">
        <f>2</f>
        <v>2</v>
      </c>
      <c r="Q48" s="5"/>
      <c r="R48" s="5"/>
      <c r="S48" s="5"/>
      <c r="T48" s="4" t="s">
        <v>23</v>
      </c>
      <c r="U48" s="4">
        <f>R16</f>
        <v>3</v>
      </c>
      <c r="V48" s="23"/>
      <c r="W48" s="2"/>
      <c r="X48" s="2"/>
    </row>
    <row r="49" spans="1:47" ht="19.5" thickBot="1">
      <c r="A49" s="65"/>
      <c r="B49" s="6"/>
      <c r="C49" s="5"/>
      <c r="D49" s="4" t="s">
        <v>23</v>
      </c>
      <c r="E49" s="4">
        <f>I43</f>
        <v>3</v>
      </c>
      <c r="F49" s="24"/>
      <c r="G49" s="4" t="s">
        <v>20</v>
      </c>
      <c r="H49" s="4">
        <f>F15</f>
        <v>3</v>
      </c>
      <c r="I49" s="4"/>
      <c r="J49" s="14"/>
      <c r="K49" s="6"/>
      <c r="L49" s="5"/>
      <c r="M49" s="16"/>
      <c r="N49" s="60" t="s">
        <v>7</v>
      </c>
      <c r="O49" s="9">
        <f>ROUNDUP(307*U42*U43*0.00785/1000,3)</f>
        <v>1.0959999999999999</v>
      </c>
      <c r="P49" s="9" t="s">
        <v>8</v>
      </c>
      <c r="Q49" s="5"/>
      <c r="R49" s="5"/>
      <c r="S49" s="6"/>
      <c r="T49" s="13" t="s">
        <v>24</v>
      </c>
      <c r="U49" s="4">
        <v>60</v>
      </c>
      <c r="V49" s="23" t="s">
        <v>4</v>
      </c>
      <c r="W49" s="2"/>
      <c r="X49" s="2"/>
      <c r="AD49" s="6" t="s">
        <v>236</v>
      </c>
      <c r="AE49" s="235" t="s">
        <v>130</v>
      </c>
      <c r="AF49" s="235"/>
      <c r="AG49" s="235"/>
      <c r="AH49" s="235"/>
      <c r="AI49" s="235"/>
      <c r="AJ49" s="235"/>
      <c r="AK49" s="235"/>
      <c r="AL49" s="235"/>
      <c r="AM49" s="235"/>
      <c r="AN49" s="235"/>
      <c r="AO49" s="235"/>
      <c r="AP49" s="235"/>
      <c r="AQ49" s="235"/>
      <c r="AR49" s="235"/>
      <c r="AS49" s="235"/>
      <c r="AT49" s="235"/>
      <c r="AU49" s="235"/>
    </row>
    <row r="50" spans="1:47" ht="19.5" thickBot="1">
      <c r="A50" s="18"/>
      <c r="B50" s="10"/>
      <c r="C50" s="60" t="s">
        <v>7</v>
      </c>
      <c r="D50" s="9">
        <f>ROUNDUP(E46*H46*B48*0.00785/1000,3)</f>
        <v>1.2849999999999999</v>
      </c>
      <c r="E50" s="9" t="s">
        <v>8</v>
      </c>
      <c r="F50" s="10"/>
      <c r="G50" s="269" t="s">
        <v>6</v>
      </c>
      <c r="H50" s="269"/>
      <c r="I50" s="9">
        <v>1</v>
      </c>
      <c r="J50" s="58"/>
      <c r="K50" s="6"/>
      <c r="L50" s="5"/>
      <c r="M50" s="15"/>
      <c r="N50" s="8"/>
      <c r="O50" s="8"/>
      <c r="P50" s="8"/>
      <c r="Q50" s="8"/>
      <c r="R50" s="8"/>
      <c r="S50" s="8"/>
      <c r="T50" s="28" t="s">
        <v>122</v>
      </c>
      <c r="U50" s="8"/>
      <c r="V50" s="11"/>
      <c r="W50" s="2"/>
      <c r="X50" s="2"/>
      <c r="AE50" s="242" t="s">
        <v>80</v>
      </c>
      <c r="AF50" s="242" t="s">
        <v>69</v>
      </c>
      <c r="AG50" s="245" t="s">
        <v>70</v>
      </c>
      <c r="AH50" s="246"/>
      <c r="AI50" s="246"/>
      <c r="AJ50" s="247"/>
      <c r="AK50" s="254" t="s">
        <v>93</v>
      </c>
      <c r="AL50" s="254"/>
      <c r="AM50" s="254"/>
      <c r="AN50" s="254"/>
      <c r="AO50" s="254"/>
      <c r="AP50" s="254"/>
      <c r="AQ50" s="276" t="s">
        <v>136</v>
      </c>
      <c r="AR50" s="277"/>
      <c r="AS50" s="278"/>
      <c r="AT50" s="229" t="s">
        <v>125</v>
      </c>
      <c r="AU50" s="155"/>
    </row>
    <row r="51" spans="1:47" ht="18.75">
      <c r="A51" s="15"/>
      <c r="B51" s="8"/>
      <c r="C51" s="8"/>
      <c r="D51" s="8"/>
      <c r="E51" s="8"/>
      <c r="G51" s="28" t="s">
        <v>54</v>
      </c>
      <c r="I51" s="8"/>
      <c r="J51" s="11"/>
      <c r="K51" s="6"/>
      <c r="L51" s="5"/>
      <c r="M51" s="16"/>
      <c r="N51" s="5"/>
      <c r="O51" s="5"/>
      <c r="P51" s="5"/>
      <c r="Q51" s="13" t="s">
        <v>14</v>
      </c>
      <c r="R51" s="4">
        <f>S13</f>
        <v>125</v>
      </c>
      <c r="S51" s="24" t="s">
        <v>4</v>
      </c>
      <c r="T51" s="6"/>
      <c r="U51" s="22" t="s">
        <v>26</v>
      </c>
      <c r="V51" s="12"/>
      <c r="W51" s="2"/>
      <c r="X51" s="2"/>
      <c r="AE51" s="243"/>
      <c r="AF51" s="243"/>
      <c r="AG51" s="248"/>
      <c r="AH51" s="249"/>
      <c r="AI51" s="249"/>
      <c r="AJ51" s="250"/>
      <c r="AK51" s="254"/>
      <c r="AL51" s="254"/>
      <c r="AM51" s="254"/>
      <c r="AN51" s="254"/>
      <c r="AO51" s="254"/>
      <c r="AP51" s="254"/>
      <c r="AQ51" s="279"/>
      <c r="AR51" s="280"/>
      <c r="AS51" s="281"/>
      <c r="AT51" s="229"/>
      <c r="AU51" s="155"/>
    </row>
    <row r="52" spans="1:47" ht="18.75">
      <c r="A52" s="16"/>
      <c r="B52" s="5"/>
      <c r="C52" s="5"/>
      <c r="D52" s="5"/>
      <c r="E52" s="13" t="s">
        <v>14</v>
      </c>
      <c r="F52" s="4">
        <f>G13</f>
        <v>125</v>
      </c>
      <c r="G52" s="24" t="s">
        <v>4</v>
      </c>
      <c r="H52" s="6"/>
      <c r="I52" s="22" t="s">
        <v>26</v>
      </c>
      <c r="J52" s="12"/>
      <c r="K52" s="6"/>
      <c r="L52" s="5"/>
      <c r="M52" s="16"/>
      <c r="N52" s="5"/>
      <c r="O52" s="5"/>
      <c r="P52" s="5"/>
      <c r="Q52" s="13" t="s">
        <v>28</v>
      </c>
      <c r="R52" s="4">
        <f>IF(R51=M20,O20,IF(R51=M21,O21,IF(R51=M22,O22,1000000)))</f>
        <v>114</v>
      </c>
      <c r="S52" s="24" t="s">
        <v>4</v>
      </c>
      <c r="T52" s="13" t="s">
        <v>18</v>
      </c>
      <c r="U52" s="4">
        <v>1</v>
      </c>
      <c r="V52" s="23" t="s">
        <v>4</v>
      </c>
      <c r="W52" s="2"/>
      <c r="X52" s="2"/>
      <c r="AE52" s="244"/>
      <c r="AF52" s="244"/>
      <c r="AG52" s="251"/>
      <c r="AH52" s="252"/>
      <c r="AI52" s="252"/>
      <c r="AJ52" s="253"/>
      <c r="AK52" s="256" t="s">
        <v>131</v>
      </c>
      <c r="AL52" s="256"/>
      <c r="AM52" s="189" t="s">
        <v>110</v>
      </c>
      <c r="AN52" s="189" t="s">
        <v>132</v>
      </c>
      <c r="AO52" s="256" t="s">
        <v>133</v>
      </c>
      <c r="AP52" s="256"/>
      <c r="AQ52" s="282"/>
      <c r="AR52" s="283"/>
      <c r="AS52" s="284"/>
      <c r="AT52" s="89" t="s">
        <v>78</v>
      </c>
      <c r="AU52" s="155"/>
    </row>
    <row r="53" spans="1:47" ht="18.75">
      <c r="A53" s="16"/>
      <c r="B53" s="5"/>
      <c r="C53" s="5"/>
      <c r="D53" s="5"/>
      <c r="E53" s="13" t="s">
        <v>28</v>
      </c>
      <c r="F53" s="4">
        <f>IF(F52=A20,C20,IF(F52=A21,C21,IF(F52=A22,C22,1000000)))</f>
        <v>114</v>
      </c>
      <c r="G53" s="24" t="s">
        <v>4</v>
      </c>
      <c r="H53" s="13" t="s">
        <v>18</v>
      </c>
      <c r="I53" s="4">
        <v>1</v>
      </c>
      <c r="J53" s="23" t="s">
        <v>4</v>
      </c>
      <c r="K53" s="6"/>
      <c r="L53" s="5"/>
      <c r="M53" s="16"/>
      <c r="N53" s="5"/>
      <c r="O53" s="5"/>
      <c r="P53" s="5"/>
      <c r="Q53" s="13" t="s">
        <v>29</v>
      </c>
      <c r="R53" s="4">
        <f>IF(R51=M20,P20,IF(R51=M21,P21,IF(R51=M22,P22,1000000)))</f>
        <v>32</v>
      </c>
      <c r="S53" s="24" t="s">
        <v>4</v>
      </c>
      <c r="T53" s="13" t="s">
        <v>27</v>
      </c>
      <c r="U53" s="4">
        <f>P2-6</f>
        <v>294</v>
      </c>
      <c r="V53" s="23" t="s">
        <v>4</v>
      </c>
      <c r="W53" s="2"/>
      <c r="X53" s="2"/>
      <c r="AD53">
        <f>AT53*AE23</f>
        <v>0</v>
      </c>
      <c r="AE53" s="158">
        <f>$X$1</f>
        <v>7</v>
      </c>
      <c r="AF53" s="158">
        <f>$Y$1</f>
        <v>7</v>
      </c>
      <c r="AG53" s="239" t="str">
        <f>CONCATENATE( $Z$1," ",$AA$1,"X",$AC$1)</f>
        <v>Тюльпан 2-B 300X300</v>
      </c>
      <c r="AH53" s="260"/>
      <c r="AI53" s="260"/>
      <c r="AJ53" s="240"/>
      <c r="AK53" s="298">
        <f>'Лист1 (2)'!$E$60</f>
        <v>299.39999999999998</v>
      </c>
      <c r="AL53" s="298"/>
      <c r="AM53" s="190">
        <f>'Лист1 (2)'!$E$61</f>
        <v>276</v>
      </c>
      <c r="AN53" s="190">
        <f>'Лист1 (2)'!$E$62</f>
        <v>92</v>
      </c>
      <c r="AO53" s="298">
        <f>'Лист1 (2)'!$I$60</f>
        <v>35.299999999999997</v>
      </c>
      <c r="AP53" s="298"/>
      <c r="AQ53" s="239" t="str">
        <f>IF($AE$2=1,"ОЦ",IF($AE$2=2,"НЕРЖ",""))</f>
        <v>НЕРЖ</v>
      </c>
      <c r="AR53" s="260" t="str">
        <f>IF('Исходные данные'!$Y$27=1,"ОЦ",IF('Исходные данные'!$Y$27=2,"НЕРЖ",""))</f>
        <v/>
      </c>
      <c r="AS53" s="240" t="str">
        <f>IF('Исходные данные'!$Y$27=1,"ОЦ",IF('Исходные данные'!$Y$27=2,"НЕРЖ",""))</f>
        <v/>
      </c>
      <c r="AT53" s="158">
        <f>$AI$1</f>
        <v>4</v>
      </c>
      <c r="AU53" s="155"/>
    </row>
    <row r="54" spans="1:47" ht="18">
      <c r="A54" s="16"/>
      <c r="B54" s="5"/>
      <c r="C54" s="5"/>
      <c r="D54" s="5"/>
      <c r="E54" s="13" t="s">
        <v>29</v>
      </c>
      <c r="F54" s="4">
        <f>IF(F52=A20,D20,IF(F52=A21,D21,IF(F52=A22,D22,1000000)))</f>
        <v>32</v>
      </c>
      <c r="G54" s="24" t="s">
        <v>4</v>
      </c>
      <c r="H54" s="13" t="s">
        <v>27</v>
      </c>
      <c r="I54" s="4">
        <f>F2-6</f>
        <v>294</v>
      </c>
      <c r="J54" s="23" t="s">
        <v>4</v>
      </c>
      <c r="K54" s="6"/>
      <c r="L54" s="5"/>
      <c r="M54" s="16"/>
      <c r="N54" s="5"/>
      <c r="O54" s="5"/>
      <c r="P54" s="5"/>
      <c r="Q54" s="13" t="s">
        <v>30</v>
      </c>
      <c r="R54" s="4">
        <f>IF(R51=M20,Q20,IF(R51=M21,Q21,IF(R51=M22,Q22,1000000)))</f>
        <v>155</v>
      </c>
      <c r="S54" s="24" t="s">
        <v>4</v>
      </c>
      <c r="T54" s="13"/>
      <c r="U54" s="4"/>
      <c r="V54" s="23"/>
      <c r="W54" s="2"/>
      <c r="X54" s="2"/>
    </row>
    <row r="55" spans="1:47" ht="19.5" thickBot="1">
      <c r="A55" s="16"/>
      <c r="B55" s="5"/>
      <c r="C55" s="5"/>
      <c r="D55" s="5"/>
      <c r="E55" s="13" t="s">
        <v>30</v>
      </c>
      <c r="F55" s="4">
        <f>IF(F52=A20,E20,IF(F52=A21,E21,IF(F52=A22,E22,1000000)))</f>
        <v>155</v>
      </c>
      <c r="G55" s="24" t="s">
        <v>4</v>
      </c>
      <c r="H55" s="13" t="s">
        <v>21</v>
      </c>
      <c r="I55" s="4">
        <f>I41</f>
        <v>276</v>
      </c>
      <c r="J55" s="23" t="s">
        <v>4</v>
      </c>
      <c r="K55" s="6"/>
      <c r="L55" s="5"/>
      <c r="M55" s="62" t="s">
        <v>7</v>
      </c>
      <c r="N55" s="9">
        <f>ROUNDUP(R54*U53*U52*0.00785/1000,3)</f>
        <v>0.35799999999999998</v>
      </c>
      <c r="O55" s="9" t="s">
        <v>8</v>
      </c>
      <c r="P55" s="10"/>
      <c r="Q55" s="60" t="s">
        <v>197</v>
      </c>
      <c r="R55" s="9">
        <f>S12*2</f>
        <v>2</v>
      </c>
      <c r="S55" s="10"/>
      <c r="T55" s="60"/>
      <c r="U55" s="9"/>
      <c r="V55" s="27"/>
      <c r="W55" s="2"/>
      <c r="X55" s="2"/>
      <c r="AD55" s="6" t="s">
        <v>236</v>
      </c>
      <c r="AE55" s="235" t="s">
        <v>135</v>
      </c>
      <c r="AF55" s="235"/>
      <c r="AG55" s="235"/>
      <c r="AH55" s="235"/>
      <c r="AI55" s="235"/>
      <c r="AJ55" s="235"/>
      <c r="AK55" s="235"/>
      <c r="AL55" s="235"/>
      <c r="AM55" s="235"/>
      <c r="AN55" s="235"/>
      <c r="AO55" s="235"/>
      <c r="AP55" s="235"/>
      <c r="AQ55" s="235"/>
      <c r="AR55" s="235"/>
      <c r="AS55" s="235"/>
      <c r="AT55" s="235"/>
      <c r="AU55" s="235"/>
    </row>
    <row r="56" spans="1:47" ht="18.75" thickBot="1">
      <c r="A56" s="67" t="s">
        <v>7</v>
      </c>
      <c r="B56" s="4">
        <f>ROUNDUP(F55*I54*I53*0.00785/1000,3)</f>
        <v>0.35799999999999998</v>
      </c>
      <c r="C56" s="4" t="s">
        <v>8</v>
      </c>
      <c r="D56" s="5"/>
      <c r="E56" s="13" t="s">
        <v>3</v>
      </c>
      <c r="F56" s="4">
        <f>G12</f>
        <v>2</v>
      </c>
      <c r="G56" s="5"/>
      <c r="H56" s="13"/>
      <c r="I56" s="4"/>
      <c r="J56" s="23"/>
      <c r="K56" s="6"/>
      <c r="L56" s="5"/>
      <c r="M56" s="63" t="s">
        <v>31</v>
      </c>
      <c r="N56" s="8"/>
      <c r="O56" s="8"/>
      <c r="P56" s="21" t="s">
        <v>59</v>
      </c>
      <c r="Q56" s="7">
        <f>P2-3</f>
        <v>297</v>
      </c>
      <c r="R56" s="28" t="s">
        <v>4</v>
      </c>
      <c r="S56" s="28" t="s">
        <v>33</v>
      </c>
      <c r="T56" s="8"/>
      <c r="U56" s="7">
        <v>20.5</v>
      </c>
      <c r="V56" s="64" t="s">
        <v>4</v>
      </c>
      <c r="W56" s="2"/>
      <c r="X56" s="2"/>
      <c r="AE56" s="242" t="s">
        <v>80</v>
      </c>
      <c r="AF56" s="242" t="s">
        <v>69</v>
      </c>
      <c r="AG56" s="245" t="s">
        <v>70</v>
      </c>
      <c r="AH56" s="246"/>
      <c r="AI56" s="246"/>
      <c r="AJ56" s="247"/>
      <c r="AK56" s="254" t="s">
        <v>93</v>
      </c>
      <c r="AL56" s="254"/>
      <c r="AM56" s="254"/>
      <c r="AN56" s="254"/>
      <c r="AO56" s="254"/>
      <c r="AP56" s="254"/>
      <c r="AQ56" s="254"/>
      <c r="AR56" s="254"/>
      <c r="AS56" s="255" t="s">
        <v>253</v>
      </c>
      <c r="AT56" s="89" t="s">
        <v>125</v>
      </c>
      <c r="AU56" s="102"/>
    </row>
    <row r="57" spans="1:47" ht="18.75" thickBot="1">
      <c r="A57" s="63" t="s">
        <v>31</v>
      </c>
      <c r="B57" s="8"/>
      <c r="C57" s="8"/>
      <c r="D57" s="21" t="s">
        <v>59</v>
      </c>
      <c r="E57" s="7">
        <f>F2-3</f>
        <v>297</v>
      </c>
      <c r="F57" s="28" t="s">
        <v>4</v>
      </c>
      <c r="G57" s="28" t="s">
        <v>33</v>
      </c>
      <c r="H57" s="8"/>
      <c r="I57" s="7">
        <v>20</v>
      </c>
      <c r="J57" s="64" t="s">
        <v>4</v>
      </c>
      <c r="K57" s="6"/>
      <c r="L57" s="5"/>
      <c r="M57" s="65" t="s">
        <v>32</v>
      </c>
      <c r="N57" s="6"/>
      <c r="O57" s="5"/>
      <c r="P57" s="13" t="s">
        <v>21</v>
      </c>
      <c r="Q57" s="7">
        <f>P2-24</f>
        <v>276</v>
      </c>
      <c r="R57" s="24" t="s">
        <v>4</v>
      </c>
      <c r="S57" s="234" t="s">
        <v>6</v>
      </c>
      <c r="T57" s="234"/>
      <c r="U57" s="4">
        <f>IF(R2=1,1,"0")</f>
        <v>1</v>
      </c>
      <c r="V57" s="12"/>
      <c r="W57" s="2"/>
      <c r="X57" s="2"/>
      <c r="AE57" s="243"/>
      <c r="AF57" s="243"/>
      <c r="AG57" s="248"/>
      <c r="AH57" s="249"/>
      <c r="AI57" s="249"/>
      <c r="AJ57" s="250"/>
      <c r="AK57" s="254"/>
      <c r="AL57" s="254"/>
      <c r="AM57" s="254"/>
      <c r="AN57" s="254"/>
      <c r="AO57" s="254"/>
      <c r="AP57" s="254"/>
      <c r="AQ57" s="254"/>
      <c r="AR57" s="254"/>
      <c r="AS57" s="255"/>
      <c r="AT57" s="89"/>
      <c r="AU57" s="102"/>
    </row>
    <row r="58" spans="1:47" ht="18.75" thickBot="1">
      <c r="A58" s="65" t="s">
        <v>32</v>
      </c>
      <c r="B58" s="6"/>
      <c r="C58" s="5"/>
      <c r="D58" s="21" t="s">
        <v>21</v>
      </c>
      <c r="E58" s="7">
        <f>F2-24</f>
        <v>276</v>
      </c>
      <c r="F58" s="24"/>
      <c r="G58" s="234" t="s">
        <v>6</v>
      </c>
      <c r="H58" s="234"/>
      <c r="I58" s="4">
        <f>I26+1</f>
        <v>3</v>
      </c>
      <c r="J58" s="12"/>
      <c r="K58" s="6"/>
      <c r="L58" s="5"/>
      <c r="M58" s="62" t="s">
        <v>18</v>
      </c>
      <c r="N58" s="9">
        <v>1</v>
      </c>
      <c r="O58" s="27"/>
      <c r="P58" s="60" t="s">
        <v>22</v>
      </c>
      <c r="Q58" s="9">
        <f>U55</f>
        <v>0</v>
      </c>
      <c r="R58" s="25" t="s">
        <v>4</v>
      </c>
      <c r="S58" s="10"/>
      <c r="T58" s="60" t="s">
        <v>7</v>
      </c>
      <c r="U58" s="9">
        <f>ROUNDUP(N58*Q56*U56*0.0085/1000,3)</f>
        <v>5.1999999999999998E-2</v>
      </c>
      <c r="V58" s="66" t="s">
        <v>8</v>
      </c>
      <c r="W58" s="2"/>
      <c r="X58" s="2"/>
      <c r="AE58" s="244"/>
      <c r="AF58" s="244"/>
      <c r="AG58" s="251"/>
      <c r="AH58" s="252"/>
      <c r="AI58" s="252"/>
      <c r="AJ58" s="253"/>
      <c r="AK58" s="256" t="s">
        <v>131</v>
      </c>
      <c r="AL58" s="256"/>
      <c r="AM58" s="168" t="s">
        <v>110</v>
      </c>
      <c r="AN58" s="168" t="s">
        <v>132</v>
      </c>
      <c r="AO58" s="169" t="s">
        <v>134</v>
      </c>
      <c r="AP58" s="257" t="s">
        <v>139</v>
      </c>
      <c r="AQ58" s="258"/>
      <c r="AR58" s="259"/>
      <c r="AS58" s="255"/>
      <c r="AT58" s="89" t="s">
        <v>78</v>
      </c>
      <c r="AU58" s="102"/>
    </row>
    <row r="59" spans="1:47" ht="18.75" thickBot="1">
      <c r="A59" s="62" t="s">
        <v>18</v>
      </c>
      <c r="B59" s="9">
        <v>1</v>
      </c>
      <c r="C59" s="25"/>
      <c r="D59" s="60"/>
      <c r="E59" s="9"/>
      <c r="F59" s="25"/>
      <c r="G59" s="10"/>
      <c r="H59" s="60" t="s">
        <v>7</v>
      </c>
      <c r="I59" s="9">
        <f>ROUNDUP(B59*E57*I57*0.0085/1000,3)</f>
        <v>5.1000000000000004E-2</v>
      </c>
      <c r="J59" s="66" t="s">
        <v>8</v>
      </c>
      <c r="K59" s="6"/>
      <c r="L59" s="5"/>
      <c r="M59" s="63" t="s">
        <v>198</v>
      </c>
      <c r="N59" s="8"/>
      <c r="O59" s="8"/>
      <c r="P59" s="21" t="s">
        <v>59</v>
      </c>
      <c r="Q59" s="7">
        <f>Q56</f>
        <v>297</v>
      </c>
      <c r="R59" s="28" t="s">
        <v>4</v>
      </c>
      <c r="S59" s="28" t="s">
        <v>33</v>
      </c>
      <c r="T59" s="8"/>
      <c r="U59" s="7">
        <v>20</v>
      </c>
      <c r="V59" s="64" t="s">
        <v>4</v>
      </c>
      <c r="W59" s="2"/>
      <c r="X59" s="2"/>
      <c r="AD59">
        <f>AT59*AE23</f>
        <v>0</v>
      </c>
      <c r="AE59" s="158">
        <f>$X$1</f>
        <v>7</v>
      </c>
      <c r="AF59" s="158">
        <f>$Y$1</f>
        <v>7</v>
      </c>
      <c r="AG59" s="239" t="str">
        <f>CONCATENATE( $Z$1," ",$AA$1,"X",$AC$1)</f>
        <v>Тюльпан 2-B 300X300</v>
      </c>
      <c r="AH59" s="260"/>
      <c r="AI59" s="260"/>
      <c r="AJ59" s="240"/>
      <c r="AK59" s="289">
        <f>'Лист1 (2)'!$E$63</f>
        <v>299.39999999999998</v>
      </c>
      <c r="AL59" s="289"/>
      <c r="AM59" s="154">
        <f>'Лист1 (2)'!$E$64</f>
        <v>276</v>
      </c>
      <c r="AN59" s="154">
        <f>'Лист1 (2)'!$E$65</f>
        <v>92</v>
      </c>
      <c r="AO59" s="154">
        <f>'Лист1 (2)'!$I$63</f>
        <v>40</v>
      </c>
      <c r="AP59" s="290">
        <f>'Лист1 (2)'!$I$64</f>
        <v>58</v>
      </c>
      <c r="AQ59" s="291"/>
      <c r="AR59" s="292"/>
      <c r="AS59" s="170" t="str">
        <f>IF($AE$2=1,"ОЦ",IF($AE$2=2,"НЕРЖ",""))</f>
        <v>НЕРЖ</v>
      </c>
      <c r="AT59" s="158">
        <f>$AI$1</f>
        <v>4</v>
      </c>
      <c r="AU59" s="103"/>
    </row>
    <row r="60" spans="1:47" ht="18">
      <c r="A60" s="88" t="s">
        <v>34</v>
      </c>
      <c r="B60" s="5"/>
      <c r="C60" s="5"/>
      <c r="D60" s="13" t="s">
        <v>60</v>
      </c>
      <c r="E60" s="4">
        <f>F2-0.6</f>
        <v>299.39999999999998</v>
      </c>
      <c r="F60" s="24" t="s">
        <v>4</v>
      </c>
      <c r="G60" s="24" t="s">
        <v>33</v>
      </c>
      <c r="H60" s="5"/>
      <c r="I60" s="4">
        <v>35.299999999999997</v>
      </c>
      <c r="J60" s="23" t="s">
        <v>4</v>
      </c>
      <c r="K60" s="6"/>
      <c r="L60" s="5"/>
      <c r="M60" s="65" t="s">
        <v>199</v>
      </c>
      <c r="N60" s="6"/>
      <c r="O60" s="5"/>
      <c r="P60" s="13" t="s">
        <v>21</v>
      </c>
      <c r="Q60" s="4">
        <f>Q57</f>
        <v>276</v>
      </c>
      <c r="R60" s="24" t="s">
        <v>4</v>
      </c>
      <c r="S60" s="234" t="s">
        <v>6</v>
      </c>
      <c r="T60" s="234"/>
      <c r="U60" s="4">
        <f>IF(R2=1,S12,"0")</f>
        <v>1</v>
      </c>
      <c r="V60" s="12"/>
      <c r="W60" s="2"/>
      <c r="X60" s="2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</row>
    <row r="61" spans="1:47" ht="19.5" thickBot="1">
      <c r="A61" s="65" t="s">
        <v>36</v>
      </c>
      <c r="B61" s="6"/>
      <c r="C61" s="5"/>
      <c r="D61" s="13" t="s">
        <v>21</v>
      </c>
      <c r="E61" s="4">
        <f>I41</f>
        <v>276</v>
      </c>
      <c r="F61" s="24" t="s">
        <v>4</v>
      </c>
      <c r="G61" s="234" t="s">
        <v>6</v>
      </c>
      <c r="H61" s="234"/>
      <c r="I61" s="4">
        <v>1</v>
      </c>
      <c r="J61" s="12"/>
      <c r="K61" s="6"/>
      <c r="M61" s="62" t="s">
        <v>18</v>
      </c>
      <c r="N61" s="9">
        <v>1</v>
      </c>
      <c r="O61" s="10"/>
      <c r="P61" s="60" t="s">
        <v>22</v>
      </c>
      <c r="Q61" s="9">
        <f>Q58</f>
        <v>0</v>
      </c>
      <c r="R61" s="25" t="s">
        <v>4</v>
      </c>
      <c r="S61" s="10"/>
      <c r="T61" s="60" t="s">
        <v>7</v>
      </c>
      <c r="U61" s="9">
        <f>ROUNDUP(N61*Q59*U59*0.0085/1000,3)</f>
        <v>5.1000000000000004E-2</v>
      </c>
      <c r="V61" s="66" t="s">
        <v>8</v>
      </c>
      <c r="W61" s="2"/>
      <c r="X61" s="2"/>
      <c r="AD61" s="6" t="s">
        <v>236</v>
      </c>
      <c r="AE61" s="235" t="s">
        <v>137</v>
      </c>
      <c r="AF61" s="235"/>
      <c r="AG61" s="235"/>
      <c r="AH61" s="235"/>
      <c r="AI61" s="235"/>
      <c r="AJ61" s="235"/>
      <c r="AK61" s="235"/>
      <c r="AL61" s="235"/>
      <c r="AM61" s="235"/>
      <c r="AN61" s="235"/>
      <c r="AO61" s="235"/>
      <c r="AP61" s="235"/>
      <c r="AQ61" s="235"/>
      <c r="AR61" s="235"/>
      <c r="AS61" s="235"/>
      <c r="AT61" s="235"/>
      <c r="AU61" s="235"/>
    </row>
    <row r="62" spans="1:47" ht="19.5" thickBot="1">
      <c r="A62" s="62" t="s">
        <v>18</v>
      </c>
      <c r="B62" s="9">
        <v>1</v>
      </c>
      <c r="C62" s="10"/>
      <c r="D62" s="60" t="s">
        <v>22</v>
      </c>
      <c r="E62" s="9">
        <f>I42</f>
        <v>92</v>
      </c>
      <c r="F62" s="25" t="s">
        <v>4</v>
      </c>
      <c r="G62" s="10"/>
      <c r="H62" s="60" t="s">
        <v>7</v>
      </c>
      <c r="I62" s="9">
        <f>ROUNDUP(B62*E60*I60*0.00785/1000,3)</f>
        <v>8.3000000000000004E-2</v>
      </c>
      <c r="J62" s="66" t="s">
        <v>8</v>
      </c>
      <c r="K62" s="6"/>
      <c r="L62" s="5"/>
      <c r="M62" s="63" t="s">
        <v>34</v>
      </c>
      <c r="N62" s="8"/>
      <c r="O62" s="8"/>
      <c r="P62" s="21" t="s">
        <v>60</v>
      </c>
      <c r="Q62" s="7">
        <f>P2-0.6</f>
        <v>299.39999999999998</v>
      </c>
      <c r="R62" s="28" t="s">
        <v>4</v>
      </c>
      <c r="S62" s="28" t="s">
        <v>33</v>
      </c>
      <c r="T62" s="8"/>
      <c r="U62" s="7">
        <v>35.299999999999997</v>
      </c>
      <c r="V62" s="64" t="s">
        <v>4</v>
      </c>
      <c r="W62" s="2"/>
      <c r="X62" s="2"/>
      <c r="AE62" s="242" t="s">
        <v>80</v>
      </c>
      <c r="AF62" s="242" t="s">
        <v>69</v>
      </c>
      <c r="AG62" s="245" t="s">
        <v>70</v>
      </c>
      <c r="AH62" s="246"/>
      <c r="AI62" s="246"/>
      <c r="AJ62" s="247"/>
      <c r="AK62" s="254" t="s">
        <v>138</v>
      </c>
      <c r="AL62" s="254"/>
      <c r="AM62" s="254"/>
      <c r="AN62" s="229" t="s">
        <v>125</v>
      </c>
      <c r="AO62" s="229"/>
      <c r="AP62" s="293" t="s">
        <v>133</v>
      </c>
      <c r="AQ62" s="293"/>
      <c r="AR62" s="155"/>
      <c r="AS62" s="155"/>
      <c r="AT62" s="155"/>
      <c r="AU62" s="155"/>
    </row>
    <row r="63" spans="1:47" ht="18.75">
      <c r="A63" s="63" t="s">
        <v>37</v>
      </c>
      <c r="B63" s="8"/>
      <c r="C63" s="8"/>
      <c r="D63" s="21" t="s">
        <v>60</v>
      </c>
      <c r="E63" s="7">
        <f>F2-0.6</f>
        <v>299.39999999999998</v>
      </c>
      <c r="F63" s="28" t="s">
        <v>4</v>
      </c>
      <c r="G63" s="26"/>
      <c r="H63" s="7" t="s">
        <v>5</v>
      </c>
      <c r="I63" s="7">
        <f>B2-(G12-1)*G13-40-IF(G13=A20,F20,IF(G13=A21,F21,IF(G13=A22,F22,1000000)))</f>
        <v>40</v>
      </c>
      <c r="J63" s="64" t="s">
        <v>4</v>
      </c>
      <c r="K63" s="6"/>
      <c r="L63" s="5"/>
      <c r="M63" s="65" t="s">
        <v>36</v>
      </c>
      <c r="N63" s="6"/>
      <c r="O63" s="5"/>
      <c r="P63" s="13" t="s">
        <v>21</v>
      </c>
      <c r="Q63" s="4">
        <f>U46</f>
        <v>276</v>
      </c>
      <c r="R63" s="24" t="s">
        <v>4</v>
      </c>
      <c r="S63" s="234" t="s">
        <v>6</v>
      </c>
      <c r="T63" s="234"/>
      <c r="U63" s="4">
        <v>2</v>
      </c>
      <c r="V63" s="12"/>
      <c r="W63" s="2"/>
      <c r="X63" s="2"/>
      <c r="AE63" s="243"/>
      <c r="AF63" s="243"/>
      <c r="AG63" s="248"/>
      <c r="AH63" s="249"/>
      <c r="AI63" s="249"/>
      <c r="AJ63" s="250"/>
      <c r="AK63" s="254"/>
      <c r="AL63" s="254"/>
      <c r="AM63" s="254"/>
      <c r="AN63" s="229"/>
      <c r="AO63" s="229"/>
      <c r="AP63" s="293"/>
      <c r="AQ63" s="293"/>
      <c r="AR63" s="155"/>
      <c r="AS63" s="155"/>
      <c r="AT63" s="155"/>
      <c r="AU63" s="155"/>
    </row>
    <row r="64" spans="1:47" ht="19.5" thickBot="1">
      <c r="A64" s="65" t="s">
        <v>35</v>
      </c>
      <c r="B64" s="6"/>
      <c r="C64" s="5"/>
      <c r="D64" s="13" t="s">
        <v>21</v>
      </c>
      <c r="E64" s="4">
        <f>E61</f>
        <v>276</v>
      </c>
      <c r="F64" s="24" t="s">
        <v>4</v>
      </c>
      <c r="G64" s="24"/>
      <c r="H64" s="4" t="s">
        <v>38</v>
      </c>
      <c r="I64" s="4">
        <f>I63+18</f>
        <v>58</v>
      </c>
      <c r="J64" s="23" t="s">
        <v>4</v>
      </c>
      <c r="K64" s="6"/>
      <c r="L64" s="5"/>
      <c r="M64" s="62" t="s">
        <v>18</v>
      </c>
      <c r="N64" s="9">
        <v>1</v>
      </c>
      <c r="O64" s="10"/>
      <c r="P64" s="60" t="s">
        <v>22</v>
      </c>
      <c r="Q64" s="9">
        <f>U47</f>
        <v>92</v>
      </c>
      <c r="R64" s="25" t="s">
        <v>4</v>
      </c>
      <c r="S64" s="10"/>
      <c r="T64" s="60" t="s">
        <v>7</v>
      </c>
      <c r="U64" s="9">
        <f>ROUNDUP(N64*Q62*U62*0.00785/1000,3)</f>
        <v>8.3000000000000004E-2</v>
      </c>
      <c r="V64" s="66" t="s">
        <v>8</v>
      </c>
      <c r="W64" s="2"/>
      <c r="X64" s="2"/>
      <c r="AE64" s="244"/>
      <c r="AF64" s="244"/>
      <c r="AG64" s="251"/>
      <c r="AH64" s="252"/>
      <c r="AI64" s="252"/>
      <c r="AJ64" s="253"/>
      <c r="AK64" s="254"/>
      <c r="AL64" s="254"/>
      <c r="AM64" s="254"/>
      <c r="AN64" s="229" t="s">
        <v>78</v>
      </c>
      <c r="AO64" s="229"/>
      <c r="AP64" s="293"/>
      <c r="AQ64" s="293"/>
      <c r="AR64" s="155"/>
      <c r="AS64" s="155"/>
      <c r="AT64" s="155"/>
      <c r="AU64" s="155"/>
    </row>
    <row r="65" spans="1:52" ht="18.75">
      <c r="A65" s="67" t="s">
        <v>18</v>
      </c>
      <c r="B65" s="4">
        <v>1</v>
      </c>
      <c r="C65" s="5"/>
      <c r="D65" s="13" t="s">
        <v>22</v>
      </c>
      <c r="E65" s="4">
        <f>E62</f>
        <v>92</v>
      </c>
      <c r="F65" s="24" t="s">
        <v>4</v>
      </c>
      <c r="G65" s="234" t="s">
        <v>6</v>
      </c>
      <c r="H65" s="234"/>
      <c r="I65" s="4">
        <v>1</v>
      </c>
      <c r="J65" s="12"/>
      <c r="K65" s="6"/>
      <c r="L65" s="5"/>
      <c r="M65" s="63" t="s">
        <v>200</v>
      </c>
      <c r="N65" s="8"/>
      <c r="O65" s="8"/>
      <c r="P65" s="21" t="s">
        <v>201</v>
      </c>
      <c r="Q65" s="7">
        <f>P2</f>
        <v>300</v>
      </c>
      <c r="R65" s="28" t="s">
        <v>4</v>
      </c>
      <c r="S65" s="26"/>
      <c r="T65" s="7" t="s">
        <v>202</v>
      </c>
      <c r="U65" s="7">
        <f>Q67+30</f>
        <v>58</v>
      </c>
      <c r="V65" s="64" t="s">
        <v>4</v>
      </c>
      <c r="W65" s="2"/>
      <c r="X65" s="2"/>
      <c r="AD65">
        <f>AN65*AE23</f>
        <v>0</v>
      </c>
      <c r="AE65" s="158">
        <f>$X$1</f>
        <v>7</v>
      </c>
      <c r="AF65" s="158">
        <f>$Y$1</f>
        <v>7</v>
      </c>
      <c r="AG65" s="239" t="str">
        <f>CONCATENATE( $Z$1," ",$AA$1,"X",$AC$1)</f>
        <v>Тюльпан 2-B 300X300</v>
      </c>
      <c r="AH65" s="260"/>
      <c r="AI65" s="260"/>
      <c r="AJ65" s="240"/>
      <c r="AK65" s="296" t="str">
        <f>IF($Z$2=1,"ОЦ 1,5","ДПРНП 1,2 НД Л63")</f>
        <v>ДПРНП 1,2 НД Л63</v>
      </c>
      <c r="AL65" s="296"/>
      <c r="AM65" s="296"/>
      <c r="AN65" s="297">
        <f>IF($Z$2&lt;&gt;1,$G$68*$AI$1,0)</f>
        <v>32</v>
      </c>
      <c r="AO65" s="297"/>
      <c r="AP65" s="297">
        <v>29</v>
      </c>
      <c r="AQ65" s="297"/>
      <c r="AR65" s="155"/>
      <c r="AS65" s="155"/>
      <c r="AT65" s="155"/>
      <c r="AU65" s="155"/>
    </row>
    <row r="66" spans="1:52" ht="18.75" thickBot="1">
      <c r="A66" s="68"/>
      <c r="B66" s="19"/>
      <c r="C66" s="10"/>
      <c r="D66" s="60" t="s">
        <v>7</v>
      </c>
      <c r="E66" s="9">
        <f>ROUNDUP(B65*E63*I64*0.00785/1000,3)</f>
        <v>0.13700000000000001</v>
      </c>
      <c r="F66" s="9" t="s">
        <v>8</v>
      </c>
      <c r="G66" s="10"/>
      <c r="H66" s="19"/>
      <c r="I66" s="19"/>
      <c r="J66" s="86"/>
      <c r="K66" s="6"/>
      <c r="L66" s="5"/>
      <c r="M66" s="65" t="s">
        <v>203</v>
      </c>
      <c r="N66" s="6"/>
      <c r="O66" s="5"/>
      <c r="P66" s="13" t="s">
        <v>204</v>
      </c>
      <c r="Q66" s="4">
        <f>Q65+26.6</f>
        <v>326.60000000000002</v>
      </c>
      <c r="R66" s="24" t="s">
        <v>4</v>
      </c>
      <c r="S66" s="24"/>
      <c r="T66" s="4" t="s">
        <v>205</v>
      </c>
      <c r="U66" s="4">
        <f>Q67+23.6</f>
        <v>51.6</v>
      </c>
      <c r="V66" s="23" t="s">
        <v>4</v>
      </c>
      <c r="W66" s="2"/>
      <c r="X66" s="2"/>
    </row>
    <row r="67" spans="1:52" ht="18.75">
      <c r="A67" s="24" t="s">
        <v>41</v>
      </c>
      <c r="B67" s="6"/>
      <c r="C67" s="22"/>
      <c r="D67" s="6"/>
      <c r="E67" s="4" t="s">
        <v>43</v>
      </c>
      <c r="F67" s="6"/>
      <c r="G67" s="13" t="s">
        <v>7</v>
      </c>
      <c r="H67" s="4">
        <v>0.01</v>
      </c>
      <c r="I67" s="4" t="s">
        <v>8</v>
      </c>
      <c r="J67" s="14"/>
      <c r="K67" s="6"/>
      <c r="L67" s="5"/>
      <c r="M67" s="67" t="s">
        <v>18</v>
      </c>
      <c r="N67" s="4">
        <v>1.5</v>
      </c>
      <c r="O67" s="5"/>
      <c r="P67" s="4" t="s">
        <v>5</v>
      </c>
      <c r="Q67" s="4">
        <f>2*U11+28</f>
        <v>28</v>
      </c>
      <c r="R67" s="24" t="s">
        <v>4</v>
      </c>
      <c r="S67" s="234" t="s">
        <v>6</v>
      </c>
      <c r="T67" s="234"/>
      <c r="U67" s="4">
        <v>1</v>
      </c>
      <c r="V67" s="12"/>
      <c r="W67" s="2"/>
      <c r="X67" s="2"/>
      <c r="AD67" s="6" t="s">
        <v>236</v>
      </c>
      <c r="AE67" s="235" t="s">
        <v>146</v>
      </c>
      <c r="AF67" s="235"/>
      <c r="AG67" s="235"/>
      <c r="AH67" s="235"/>
      <c r="AI67" s="235"/>
      <c r="AJ67" s="235"/>
      <c r="AK67" s="235"/>
      <c r="AL67" s="235"/>
      <c r="AM67" s="235"/>
      <c r="AN67" s="235"/>
      <c r="AO67" s="235"/>
      <c r="AP67" s="235"/>
      <c r="AQ67" s="235"/>
      <c r="AR67" s="235"/>
      <c r="AS67" s="235"/>
      <c r="AT67" s="235"/>
      <c r="AU67" s="235"/>
      <c r="AV67" s="6"/>
      <c r="AW67" s="6"/>
      <c r="AX67" s="6"/>
      <c r="AY67" s="6"/>
      <c r="AZ67" s="6"/>
    </row>
    <row r="68" spans="1:52" ht="18.75" thickBot="1">
      <c r="A68" s="65" t="s">
        <v>42</v>
      </c>
      <c r="B68" s="5"/>
      <c r="C68" s="4"/>
      <c r="D68" s="261" t="s">
        <v>6</v>
      </c>
      <c r="E68" s="261"/>
      <c r="F68" s="261"/>
      <c r="G68" s="4">
        <f>G12*4</f>
        <v>8</v>
      </c>
      <c r="H68" s="4"/>
      <c r="I68" s="4"/>
      <c r="J68" s="14"/>
      <c r="K68" s="6"/>
      <c r="L68" s="5"/>
      <c r="M68" s="68"/>
      <c r="N68" s="19"/>
      <c r="O68" s="10"/>
      <c r="S68" s="10"/>
      <c r="T68" s="60" t="s">
        <v>7</v>
      </c>
      <c r="U68" s="9">
        <f>ROUNDUP(N67*Q66*U66*0.00785/1000,3)</f>
        <v>0.19900000000000001</v>
      </c>
      <c r="V68" s="66" t="s">
        <v>8</v>
      </c>
      <c r="W68" s="2"/>
      <c r="X68" s="2"/>
      <c r="AE68" s="242" t="s">
        <v>80</v>
      </c>
      <c r="AF68" s="242" t="s">
        <v>69</v>
      </c>
      <c r="AG68" s="245" t="s">
        <v>70</v>
      </c>
      <c r="AH68" s="246"/>
      <c r="AI68" s="246"/>
      <c r="AJ68" s="247"/>
      <c r="AK68" s="254" t="s">
        <v>93</v>
      </c>
      <c r="AL68" s="254"/>
      <c r="AM68" s="254"/>
      <c r="AN68" s="254"/>
      <c r="AO68" s="254"/>
      <c r="AP68" s="254"/>
      <c r="AQ68" s="254"/>
      <c r="AR68" s="254"/>
      <c r="AS68" s="255" t="s">
        <v>140</v>
      </c>
      <c r="AT68" s="229" t="s">
        <v>125</v>
      </c>
      <c r="AU68" s="294" t="s">
        <v>148</v>
      </c>
      <c r="AV68" s="294"/>
      <c r="AW68" s="294"/>
      <c r="AX68" s="294"/>
      <c r="AY68" s="294"/>
      <c r="AZ68" s="294"/>
    </row>
    <row r="69" spans="1:52" ht="18.75" thickBot="1">
      <c r="A69" s="71" t="s">
        <v>51</v>
      </c>
      <c r="B69" s="69"/>
      <c r="C69" s="69"/>
      <c r="D69" s="69"/>
      <c r="E69" s="69"/>
      <c r="F69" s="72" t="s">
        <v>9</v>
      </c>
      <c r="G69" s="72">
        <v>0.03</v>
      </c>
      <c r="H69" s="70" t="s">
        <v>44</v>
      </c>
      <c r="I69" s="69"/>
      <c r="J69" s="73">
        <f>2*G12</f>
        <v>4</v>
      </c>
      <c r="M69" s="63" t="s">
        <v>206</v>
      </c>
      <c r="N69" s="8"/>
      <c r="O69" s="8"/>
      <c r="P69" s="21" t="s">
        <v>207</v>
      </c>
      <c r="Q69" s="7">
        <f>U43</f>
        <v>303</v>
      </c>
      <c r="R69" s="28" t="s">
        <v>4</v>
      </c>
      <c r="S69" s="21" t="s">
        <v>56</v>
      </c>
      <c r="T69" s="7">
        <f>N2+60</f>
        <v>360</v>
      </c>
      <c r="U69" s="28" t="s">
        <v>4</v>
      </c>
      <c r="V69" s="87"/>
      <c r="AE69" s="243"/>
      <c r="AF69" s="243"/>
      <c r="AG69" s="248"/>
      <c r="AH69" s="249"/>
      <c r="AI69" s="249"/>
      <c r="AJ69" s="250"/>
      <c r="AK69" s="254"/>
      <c r="AL69" s="254"/>
      <c r="AM69" s="254"/>
      <c r="AN69" s="254"/>
      <c r="AO69" s="254"/>
      <c r="AP69" s="254"/>
      <c r="AQ69" s="254"/>
      <c r="AR69" s="254"/>
      <c r="AS69" s="255"/>
      <c r="AT69" s="229"/>
      <c r="AU69" s="294"/>
      <c r="AV69" s="294"/>
      <c r="AW69" s="294"/>
      <c r="AX69" s="294"/>
      <c r="AY69" s="294"/>
      <c r="AZ69" s="294"/>
    </row>
    <row r="70" spans="1:52" ht="19.5" thickBot="1">
      <c r="A70" s="74" t="s">
        <v>45</v>
      </c>
      <c r="B70" s="75"/>
      <c r="C70" s="75"/>
      <c r="D70" s="75"/>
      <c r="E70" s="75"/>
      <c r="F70" s="76" t="s">
        <v>9</v>
      </c>
      <c r="G70" s="72">
        <v>0.14000000000000001</v>
      </c>
      <c r="H70" s="70" t="s">
        <v>44</v>
      </c>
      <c r="I70" s="77"/>
      <c r="J70" s="78">
        <f>J69</f>
        <v>4</v>
      </c>
      <c r="M70" s="65" t="s">
        <v>40</v>
      </c>
      <c r="N70" s="6"/>
      <c r="O70" s="5"/>
      <c r="P70" s="13" t="s">
        <v>208</v>
      </c>
      <c r="Q70" s="4">
        <f>U44</f>
        <v>330</v>
      </c>
      <c r="R70" s="24" t="s">
        <v>4</v>
      </c>
      <c r="S70" s="13" t="s">
        <v>57</v>
      </c>
      <c r="T70" s="4">
        <f>N2+30</f>
        <v>330</v>
      </c>
      <c r="U70" s="24" t="s">
        <v>4</v>
      </c>
      <c r="V70" s="14"/>
      <c r="AE70" s="244"/>
      <c r="AF70" s="244"/>
      <c r="AG70" s="251"/>
      <c r="AH70" s="252"/>
      <c r="AI70" s="252"/>
      <c r="AJ70" s="253"/>
      <c r="AK70" s="287" t="s">
        <v>141</v>
      </c>
      <c r="AL70" s="287"/>
      <c r="AM70" s="104" t="s">
        <v>142</v>
      </c>
      <c r="AN70" s="104" t="s">
        <v>143</v>
      </c>
      <c r="AO70" s="104" t="s">
        <v>144</v>
      </c>
      <c r="AP70" s="104" t="s">
        <v>117</v>
      </c>
      <c r="AQ70" s="157" t="s">
        <v>102</v>
      </c>
      <c r="AR70" s="105" t="s">
        <v>145</v>
      </c>
      <c r="AS70" s="255"/>
      <c r="AT70" s="89" t="s">
        <v>78</v>
      </c>
      <c r="AU70" s="153"/>
      <c r="AV70" s="106" t="s">
        <v>0</v>
      </c>
      <c r="AW70" s="106" t="s">
        <v>79</v>
      </c>
      <c r="AX70" s="106" t="s">
        <v>1</v>
      </c>
      <c r="AY70" s="106" t="s">
        <v>79</v>
      </c>
      <c r="AZ70" s="106" t="s">
        <v>89</v>
      </c>
    </row>
    <row r="71" spans="1:52" ht="18.75" thickBot="1">
      <c r="A71" s="79" t="s">
        <v>46</v>
      </c>
      <c r="B71" s="80"/>
      <c r="C71" s="80"/>
      <c r="D71" s="80"/>
      <c r="E71" s="75"/>
      <c r="F71" s="80"/>
      <c r="G71" s="81"/>
      <c r="H71" s="70" t="s">
        <v>44</v>
      </c>
      <c r="I71" s="81"/>
      <c r="J71" s="82">
        <f>4*G12</f>
        <v>8</v>
      </c>
      <c r="M71" s="67" t="s">
        <v>18</v>
      </c>
      <c r="N71" s="4">
        <v>1.5</v>
      </c>
      <c r="O71" s="5"/>
      <c r="P71" s="13" t="s">
        <v>209</v>
      </c>
      <c r="Q71" s="4">
        <f>Q70/Q72</f>
        <v>110</v>
      </c>
      <c r="R71" s="24"/>
      <c r="S71" s="13" t="s">
        <v>210</v>
      </c>
      <c r="T71" s="4">
        <f>T70/T72</f>
        <v>110</v>
      </c>
      <c r="U71" s="24" t="s">
        <v>4</v>
      </c>
      <c r="V71" s="14"/>
      <c r="AD71">
        <f>AT71*AE23</f>
        <v>0</v>
      </c>
      <c r="AE71" s="158">
        <f>$X$1</f>
        <v>7</v>
      </c>
      <c r="AF71" s="158">
        <f>$Y$1</f>
        <v>7</v>
      </c>
      <c r="AG71" s="239" t="str">
        <f>CONCATENATE( $Z$1," ",$AA$1,"X",$AC$1)</f>
        <v>Тюльпан 2-B 300X300</v>
      </c>
      <c r="AH71" s="260"/>
      <c r="AI71" s="260"/>
      <c r="AJ71" s="240"/>
      <c r="AK71" s="295">
        <f>IF($AF$1&lt;=1,0,$AA$1+30)</f>
        <v>330</v>
      </c>
      <c r="AL71" s="295"/>
      <c r="AM71" s="159">
        <f>$AA$1+60</f>
        <v>360</v>
      </c>
      <c r="AN71" s="159">
        <f>$AC$1+30</f>
        <v>330</v>
      </c>
      <c r="AO71" s="159">
        <f>$AC$1+60</f>
        <v>360</v>
      </c>
      <c r="AP71" s="159">
        <f>'Лист1 (2)'!$I$32</f>
        <v>3</v>
      </c>
      <c r="AQ71" s="159">
        <f>'Лист1 (2)'!$I$32</f>
        <v>3</v>
      </c>
      <c r="AR71" s="159">
        <f>2*(AP71+AQ71+1)</f>
        <v>14</v>
      </c>
      <c r="AS71" s="170" t="str">
        <f>IF($AE$2=1,"ОЦ",IF($AE$2=2,"НЕРЖ",""))</f>
        <v>НЕРЖ</v>
      </c>
      <c r="AT71" s="158">
        <f>$AF$1*$AI$1</f>
        <v>16</v>
      </c>
      <c r="AU71" s="107" t="s">
        <v>147</v>
      </c>
      <c r="AV71" s="108">
        <f>$AA$1</f>
        <v>300</v>
      </c>
      <c r="AW71" s="109" t="s">
        <v>79</v>
      </c>
      <c r="AX71" s="108">
        <f>$AC$1</f>
        <v>300</v>
      </c>
      <c r="AY71" s="109" t="s">
        <v>79</v>
      </c>
      <c r="AZ71" s="108">
        <f>$AH$1</f>
        <v>300</v>
      </c>
    </row>
    <row r="72" spans="1:52" ht="18.75" thickBot="1">
      <c r="A72" s="79" t="s">
        <v>47</v>
      </c>
      <c r="B72" s="83"/>
      <c r="C72" s="83"/>
      <c r="D72" s="83"/>
      <c r="E72" s="75"/>
      <c r="F72" s="80"/>
      <c r="G72" s="81"/>
      <c r="H72" s="70" t="s">
        <v>44</v>
      </c>
      <c r="I72" s="81"/>
      <c r="J72" s="82">
        <f>J71</f>
        <v>8</v>
      </c>
      <c r="M72" s="65"/>
      <c r="N72" s="6"/>
      <c r="O72" s="5"/>
      <c r="P72" s="4" t="s">
        <v>23</v>
      </c>
      <c r="Q72" s="4">
        <f>U48</f>
        <v>3</v>
      </c>
      <c r="R72" s="24"/>
      <c r="S72" s="4" t="s">
        <v>20</v>
      </c>
      <c r="T72" s="4">
        <f>R15</f>
        <v>3</v>
      </c>
      <c r="U72" s="4"/>
      <c r="V72" s="14"/>
    </row>
    <row r="73" spans="1:52" ht="18.75" thickBot="1">
      <c r="A73" s="79" t="s">
        <v>48</v>
      </c>
      <c r="B73" s="75"/>
      <c r="C73" s="75"/>
      <c r="D73" s="75"/>
      <c r="E73" s="75"/>
      <c r="F73" s="80"/>
      <c r="G73" s="81"/>
      <c r="H73" s="70" t="s">
        <v>44</v>
      </c>
      <c r="I73" s="81"/>
      <c r="J73" s="82">
        <f>J71</f>
        <v>8</v>
      </c>
      <c r="M73" s="16"/>
      <c r="N73" s="5"/>
      <c r="O73" s="13" t="s">
        <v>7</v>
      </c>
      <c r="P73" s="4">
        <f>ROUNDUP(Q69*T69*N71*0.00785/1000,3)</f>
        <v>1.2849999999999999</v>
      </c>
      <c r="Q73" s="4" t="s">
        <v>8</v>
      </c>
      <c r="R73" s="5"/>
      <c r="S73" s="234" t="s">
        <v>6</v>
      </c>
      <c r="T73" s="234"/>
      <c r="U73" s="4">
        <v>1</v>
      </c>
      <c r="V73" s="12"/>
    </row>
    <row r="74" spans="1:52" ht="18.75" thickBot="1">
      <c r="A74" s="79" t="s">
        <v>49</v>
      </c>
      <c r="B74" s="84"/>
      <c r="C74" s="84"/>
      <c r="D74" s="84"/>
      <c r="E74" s="84"/>
      <c r="F74" s="84"/>
      <c r="G74" s="84"/>
      <c r="H74" s="70" t="s">
        <v>44</v>
      </c>
      <c r="I74" s="84"/>
      <c r="J74" s="85">
        <f>IF(G12&lt;=2,4*G12,2*(4*G12-4))+2*(F16+1)</f>
        <v>16</v>
      </c>
      <c r="M74" s="149" t="s">
        <v>42</v>
      </c>
      <c r="N74" s="8"/>
      <c r="O74" s="7"/>
      <c r="P74" s="285" t="s">
        <v>6</v>
      </c>
      <c r="Q74" s="285"/>
      <c r="R74" s="285"/>
      <c r="S74" s="7">
        <f>S12*4</f>
        <v>4</v>
      </c>
      <c r="T74" s="150"/>
      <c r="U74" s="7"/>
      <c r="V74" s="11"/>
      <c r="AB74" s="24"/>
    </row>
    <row r="75" spans="1:52" ht="18.75" thickBot="1">
      <c r="A75" s="79" t="s">
        <v>55</v>
      </c>
      <c r="B75" s="84"/>
      <c r="C75" s="84"/>
      <c r="D75" s="84"/>
      <c r="E75" s="84"/>
      <c r="F75" s="84"/>
      <c r="G75" s="84"/>
      <c r="H75" s="70" t="s">
        <v>44</v>
      </c>
      <c r="I75" s="84"/>
      <c r="J75" s="85">
        <f>(G12+1)*(I20+1)</f>
        <v>12</v>
      </c>
      <c r="M75" s="88" t="s">
        <v>41</v>
      </c>
      <c r="N75" s="6"/>
      <c r="O75" s="22"/>
      <c r="P75" s="6"/>
      <c r="Q75" s="4" t="s">
        <v>43</v>
      </c>
      <c r="R75" s="6"/>
      <c r="S75" s="13" t="s">
        <v>7</v>
      </c>
      <c r="T75" s="4">
        <v>0.01</v>
      </c>
      <c r="U75" s="4" t="s">
        <v>8</v>
      </c>
      <c r="V75" s="14">
        <f>IF(R2=1,1,"0")</f>
        <v>1</v>
      </c>
    </row>
    <row r="76" spans="1:52" ht="18.75" customHeight="1" thickBot="1">
      <c r="M76" s="151" t="s">
        <v>211</v>
      </c>
      <c r="N76" s="10"/>
      <c r="O76" s="60"/>
      <c r="P76" s="19"/>
      <c r="Q76" s="9" t="s">
        <v>212</v>
      </c>
      <c r="R76" s="19"/>
      <c r="S76" s="60" t="s">
        <v>7</v>
      </c>
      <c r="T76" s="9">
        <v>8.9999999999999993E-3</v>
      </c>
      <c r="U76" s="9" t="s">
        <v>8</v>
      </c>
      <c r="V76" s="14" t="str">
        <f>IF(R2=2,1,"0")</f>
        <v>0</v>
      </c>
      <c r="AE76" s="171" t="s">
        <v>234</v>
      </c>
    </row>
    <row r="77" spans="1:52" ht="14.25" customHeight="1" thickBot="1">
      <c r="M77" s="71" t="s">
        <v>213</v>
      </c>
      <c r="N77" s="69"/>
      <c r="O77" s="69"/>
      <c r="P77" s="69"/>
      <c r="Q77" s="69"/>
      <c r="R77" s="72" t="s">
        <v>9</v>
      </c>
      <c r="S77" s="72">
        <v>0.03</v>
      </c>
      <c r="T77" s="70" t="s">
        <v>44</v>
      </c>
      <c r="U77" s="69"/>
      <c r="V77" s="73">
        <f>4*S12</f>
        <v>4</v>
      </c>
      <c r="AE77">
        <f>IF(OR($Z$2=3,$Z$2=4),1,0)</f>
        <v>1</v>
      </c>
    </row>
    <row r="78" spans="1:52" ht="27.75" customHeight="1" thickBot="1">
      <c r="M78" s="74" t="s">
        <v>214</v>
      </c>
      <c r="N78" s="75"/>
      <c r="O78" s="75"/>
      <c r="P78" s="75"/>
      <c r="Q78" s="75"/>
      <c r="R78" s="76" t="s">
        <v>9</v>
      </c>
      <c r="S78" s="72">
        <v>0.14000000000000001</v>
      </c>
      <c r="T78" s="70" t="s">
        <v>44</v>
      </c>
      <c r="U78" s="77"/>
      <c r="V78" s="78">
        <f>V77</f>
        <v>4</v>
      </c>
    </row>
    <row r="79" spans="1:52" ht="19.5" thickBot="1">
      <c r="M79" s="79" t="s">
        <v>46</v>
      </c>
      <c r="N79" s="80"/>
      <c r="O79" s="80"/>
      <c r="P79" s="80"/>
      <c r="Q79" s="75"/>
      <c r="R79" s="80"/>
      <c r="S79" s="81"/>
      <c r="T79" s="70" t="s">
        <v>44</v>
      </c>
      <c r="U79" s="81"/>
      <c r="V79" s="82">
        <f>8*S12</f>
        <v>8</v>
      </c>
      <c r="AD79" t="s">
        <v>236</v>
      </c>
      <c r="AE79" s="235" t="s">
        <v>217</v>
      </c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</row>
    <row r="80" spans="1:52" ht="16.5" customHeight="1" thickBot="1">
      <c r="M80" s="79" t="s">
        <v>47</v>
      </c>
      <c r="N80" s="83"/>
      <c r="O80" s="83"/>
      <c r="P80" s="83"/>
      <c r="Q80" s="75"/>
      <c r="R80" s="80"/>
      <c r="S80" s="81"/>
      <c r="T80" s="70" t="s">
        <v>44</v>
      </c>
      <c r="U80" s="81"/>
      <c r="V80" s="82">
        <f>V79</f>
        <v>8</v>
      </c>
      <c r="AE80" s="242" t="s">
        <v>80</v>
      </c>
      <c r="AF80" s="242" t="s">
        <v>69</v>
      </c>
      <c r="AG80" s="245" t="s">
        <v>70</v>
      </c>
      <c r="AH80" s="246"/>
      <c r="AI80" s="246"/>
      <c r="AJ80" s="247"/>
      <c r="AK80" s="209" t="s">
        <v>93</v>
      </c>
      <c r="AL80" s="210"/>
      <c r="AM80" s="210"/>
      <c r="AN80" s="210"/>
      <c r="AO80" s="210"/>
      <c r="AP80" s="210"/>
      <c r="AQ80" s="211"/>
      <c r="AR80" s="242" t="s">
        <v>105</v>
      </c>
      <c r="AS80" s="236" t="s">
        <v>77</v>
      </c>
    </row>
    <row r="81" spans="13:48" ht="16.5" thickBot="1">
      <c r="M81" s="79" t="s">
        <v>48</v>
      </c>
      <c r="N81" s="75"/>
      <c r="O81" s="75"/>
      <c r="P81" s="75"/>
      <c r="Q81" s="75"/>
      <c r="R81" s="80"/>
      <c r="S81" s="81"/>
      <c r="T81" s="70" t="s">
        <v>44</v>
      </c>
      <c r="U81" s="81"/>
      <c r="V81" s="82">
        <f>V79</f>
        <v>8</v>
      </c>
      <c r="AE81" s="243"/>
      <c r="AF81" s="243"/>
      <c r="AG81" s="248"/>
      <c r="AH81" s="249"/>
      <c r="AI81" s="249"/>
      <c r="AJ81" s="250"/>
      <c r="AK81" s="212"/>
      <c r="AL81" s="213"/>
      <c r="AM81" s="213"/>
      <c r="AN81" s="213"/>
      <c r="AO81" s="213"/>
      <c r="AP81" s="213"/>
      <c r="AQ81" s="214"/>
      <c r="AR81" s="243"/>
      <c r="AS81" s="237"/>
    </row>
    <row r="82" spans="13:48" ht="34.5" thickBot="1">
      <c r="M82" s="79" t="s">
        <v>49</v>
      </c>
      <c r="N82" s="84"/>
      <c r="O82" s="84"/>
      <c r="P82" s="84"/>
      <c r="Q82" s="84"/>
      <c r="R82" s="84"/>
      <c r="S82" s="84"/>
      <c r="T82" s="70" t="s">
        <v>44</v>
      </c>
      <c r="U82" s="84"/>
      <c r="V82" s="85">
        <f>2*(R16+1)+8*S12</f>
        <v>16</v>
      </c>
      <c r="AE82" s="244"/>
      <c r="AF82" s="244"/>
      <c r="AG82" s="251"/>
      <c r="AH82" s="252"/>
      <c r="AI82" s="252"/>
      <c r="AJ82" s="253"/>
      <c r="AK82" s="152" t="s">
        <v>78</v>
      </c>
      <c r="AL82" s="89" t="s">
        <v>97</v>
      </c>
      <c r="AM82" s="89" t="s">
        <v>98</v>
      </c>
      <c r="AN82" s="172" t="s">
        <v>144</v>
      </c>
      <c r="AO82" s="173" t="s">
        <v>218</v>
      </c>
      <c r="AP82" s="173" t="s">
        <v>117</v>
      </c>
      <c r="AQ82" s="173" t="s">
        <v>219</v>
      </c>
      <c r="AR82" s="244"/>
      <c r="AS82" s="238"/>
    </row>
    <row r="83" spans="13:48" ht="16.5" thickBot="1">
      <c r="M83" s="79" t="s">
        <v>215</v>
      </c>
      <c r="N83" s="84"/>
      <c r="O83" s="84"/>
      <c r="P83" s="84"/>
      <c r="Q83" s="84"/>
      <c r="R83" s="84"/>
      <c r="S83" s="84"/>
      <c r="T83" s="70" t="s">
        <v>44</v>
      </c>
      <c r="U83" s="84"/>
      <c r="V83" s="85">
        <f>(S12+1)*(U20+1)</f>
        <v>8</v>
      </c>
      <c r="AD83">
        <f>AR83*AE77</f>
        <v>8</v>
      </c>
      <c r="AE83" s="158">
        <f>$X$1</f>
        <v>7</v>
      </c>
      <c r="AF83" s="158">
        <f>$Y$1</f>
        <v>7</v>
      </c>
      <c r="AG83" s="239" t="str">
        <f>CONCATENATE( $Z$1," ",$AA$1,"X",$AC$1)</f>
        <v>Тюльпан 2-B 300X300</v>
      </c>
      <c r="AH83" s="260"/>
      <c r="AI83" s="260"/>
      <c r="AJ83" s="240"/>
      <c r="AK83" s="158">
        <f>$U$28</f>
        <v>1</v>
      </c>
      <c r="AL83" s="158">
        <f>$U$29</f>
        <v>125</v>
      </c>
      <c r="AM83" s="158">
        <f>$U$30</f>
        <v>0</v>
      </c>
      <c r="AN83" s="158">
        <f>$U$31</f>
        <v>360</v>
      </c>
      <c r="AO83" s="158">
        <f>$U$33</f>
        <v>110</v>
      </c>
      <c r="AP83" s="96">
        <f>$U$35</f>
        <v>3</v>
      </c>
      <c r="AQ83" s="96">
        <f>$U$34</f>
        <v>110</v>
      </c>
      <c r="AR83" s="158">
        <f>$V$36*$AI$1</f>
        <v>8</v>
      </c>
      <c r="AS83" s="158" t="str">
        <f>IF($AE$2=1,"ОЦ",IF($AE$2=2,"НЕРЖ",""))</f>
        <v>НЕРЖ</v>
      </c>
    </row>
    <row r="85" spans="13:48" ht="18.75">
      <c r="AD85" t="s">
        <v>236</v>
      </c>
      <c r="AE85" s="235" t="s">
        <v>220</v>
      </c>
      <c r="AF85" s="235"/>
      <c r="AG85" s="235"/>
      <c r="AH85" s="235"/>
      <c r="AI85" s="235"/>
      <c r="AJ85" s="235"/>
      <c r="AK85" s="235"/>
      <c r="AL85" s="235"/>
      <c r="AM85" s="235"/>
      <c r="AN85" s="235"/>
      <c r="AO85" s="235"/>
      <c r="AP85" s="235"/>
      <c r="AQ85" s="235"/>
      <c r="AR85" s="235"/>
      <c r="AS85" s="235"/>
      <c r="AT85" s="235"/>
      <c r="AU85" s="235"/>
      <c r="AV85" s="6"/>
    </row>
    <row r="86" spans="13:48" ht="12.75" customHeight="1">
      <c r="AE86" s="242" t="s">
        <v>80</v>
      </c>
      <c r="AF86" s="242" t="s">
        <v>69</v>
      </c>
      <c r="AG86" s="245" t="s">
        <v>70</v>
      </c>
      <c r="AH86" s="246"/>
      <c r="AI86" s="246"/>
      <c r="AJ86" s="247"/>
      <c r="AK86" s="245" t="s">
        <v>93</v>
      </c>
      <c r="AL86" s="246"/>
      <c r="AM86" s="246"/>
      <c r="AN86" s="246"/>
      <c r="AO86" s="246"/>
      <c r="AP86" s="246"/>
      <c r="AQ86" s="247"/>
      <c r="AR86" s="229" t="s">
        <v>111</v>
      </c>
      <c r="AS86" s="229"/>
      <c r="AT86" s="229"/>
      <c r="AU86" s="236" t="s">
        <v>77</v>
      </c>
    </row>
    <row r="87" spans="13:48" ht="12.75" customHeight="1">
      <c r="AE87" s="243"/>
      <c r="AF87" s="243"/>
      <c r="AG87" s="248"/>
      <c r="AH87" s="249"/>
      <c r="AI87" s="249"/>
      <c r="AJ87" s="250"/>
      <c r="AK87" s="251"/>
      <c r="AL87" s="252"/>
      <c r="AM87" s="252"/>
      <c r="AN87" s="252"/>
      <c r="AO87" s="252"/>
      <c r="AP87" s="252"/>
      <c r="AQ87" s="253"/>
      <c r="AR87" s="229" t="s">
        <v>113</v>
      </c>
      <c r="AS87" s="229"/>
      <c r="AT87" s="97" t="s">
        <v>112</v>
      </c>
      <c r="AU87" s="237"/>
    </row>
    <row r="88" spans="13:48" ht="22.5">
      <c r="AE88" s="244"/>
      <c r="AF88" s="244"/>
      <c r="AG88" s="251"/>
      <c r="AH88" s="252"/>
      <c r="AI88" s="252"/>
      <c r="AJ88" s="253"/>
      <c r="AK88" s="229" t="s">
        <v>109</v>
      </c>
      <c r="AL88" s="229"/>
      <c r="AM88" s="174" t="s">
        <v>221</v>
      </c>
      <c r="AN88" s="89" t="s">
        <v>110</v>
      </c>
      <c r="AO88" s="173" t="s">
        <v>262</v>
      </c>
      <c r="AP88" s="89" t="s">
        <v>132</v>
      </c>
      <c r="AQ88" s="89" t="s">
        <v>102</v>
      </c>
      <c r="AR88" s="229">
        <v>60</v>
      </c>
      <c r="AS88" s="229"/>
      <c r="AT88" s="89"/>
      <c r="AU88" s="238"/>
    </row>
    <row r="89" spans="13:48">
      <c r="AD89">
        <f>AT89*AE77</f>
        <v>8</v>
      </c>
      <c r="AE89" s="158">
        <f>$X$1</f>
        <v>7</v>
      </c>
      <c r="AF89" s="158">
        <f>$Y$1</f>
        <v>7</v>
      </c>
      <c r="AG89" s="239" t="str">
        <f>CONCATENATE( $Z$1," ",$AA$1,"X",$AC$1)</f>
        <v>Тюльпан 2-B 300X300</v>
      </c>
      <c r="AH89" s="260"/>
      <c r="AI89" s="260"/>
      <c r="AJ89" s="240"/>
      <c r="AK89" s="239">
        <f>U43</f>
        <v>303</v>
      </c>
      <c r="AL89" s="240"/>
      <c r="AM89" s="158">
        <f>U45</f>
        <v>110</v>
      </c>
      <c r="AN89" s="158">
        <f>U46</f>
        <v>276</v>
      </c>
      <c r="AO89" s="158">
        <f>$Q$42</f>
        <v>96.5</v>
      </c>
      <c r="AP89" s="158">
        <f>U47</f>
        <v>92</v>
      </c>
      <c r="AQ89" s="158">
        <f>U48</f>
        <v>3</v>
      </c>
      <c r="AR89" s="239">
        <v>60</v>
      </c>
      <c r="AS89" s="240"/>
      <c r="AT89" s="158">
        <f>P48*$AI$1</f>
        <v>8</v>
      </c>
      <c r="AU89" s="158" t="str">
        <f>IF($AE$2=1,"ОЦ",IF($AE$2=2,"НЕРЖ",""))</f>
        <v>НЕРЖ</v>
      </c>
    </row>
    <row r="91" spans="13:48" ht="18.75">
      <c r="AD91" t="s">
        <v>236</v>
      </c>
      <c r="AE91" s="235" t="s">
        <v>225</v>
      </c>
      <c r="AF91" s="235"/>
      <c r="AG91" s="235"/>
      <c r="AH91" s="235"/>
      <c r="AI91" s="235"/>
      <c r="AJ91" s="235"/>
      <c r="AK91" s="235"/>
      <c r="AL91" s="235"/>
      <c r="AM91" s="235"/>
      <c r="AN91" s="235"/>
      <c r="AO91" s="235"/>
      <c r="AP91" s="235"/>
      <c r="AQ91" s="235"/>
      <c r="AR91" s="235"/>
      <c r="AS91" s="235"/>
      <c r="AT91" s="235"/>
      <c r="AU91" s="235"/>
      <c r="AV91" s="6"/>
    </row>
    <row r="92" spans="13:48">
      <c r="AE92" s="242" t="s">
        <v>80</v>
      </c>
      <c r="AF92" s="242" t="s">
        <v>69</v>
      </c>
      <c r="AG92" s="245" t="s">
        <v>70</v>
      </c>
      <c r="AH92" s="246"/>
      <c r="AI92" s="246"/>
      <c r="AJ92" s="247"/>
      <c r="AK92" s="254" t="s">
        <v>93</v>
      </c>
      <c r="AL92" s="254"/>
      <c r="AM92" s="254"/>
      <c r="AN92" s="254"/>
      <c r="AO92" s="254"/>
      <c r="AP92" s="254"/>
      <c r="AQ92" s="101"/>
      <c r="AR92" s="236" t="s">
        <v>127</v>
      </c>
    </row>
    <row r="93" spans="13:48">
      <c r="AE93" s="243"/>
      <c r="AF93" s="243"/>
      <c r="AG93" s="248"/>
      <c r="AH93" s="249"/>
      <c r="AI93" s="249"/>
      <c r="AJ93" s="250"/>
      <c r="AK93" s="254"/>
      <c r="AL93" s="254"/>
      <c r="AM93" s="254"/>
      <c r="AN93" s="254"/>
      <c r="AO93" s="254"/>
      <c r="AP93" s="254"/>
      <c r="AQ93" s="179" t="s">
        <v>125</v>
      </c>
      <c r="AR93" s="237"/>
    </row>
    <row r="94" spans="13:48" ht="15">
      <c r="AE94" s="244"/>
      <c r="AF94" s="244"/>
      <c r="AG94" s="251"/>
      <c r="AH94" s="252"/>
      <c r="AI94" s="252"/>
      <c r="AJ94" s="253"/>
      <c r="AK94" s="99" t="s">
        <v>97</v>
      </c>
      <c r="AL94" s="99" t="s">
        <v>118</v>
      </c>
      <c r="AM94" s="99" t="s">
        <v>119</v>
      </c>
      <c r="AN94" s="99" t="s">
        <v>120</v>
      </c>
      <c r="AO94" s="99" t="s">
        <v>121</v>
      </c>
      <c r="AP94" s="99" t="s">
        <v>110</v>
      </c>
      <c r="AQ94" s="180" t="s">
        <v>78</v>
      </c>
      <c r="AR94" s="238"/>
    </row>
    <row r="95" spans="13:48">
      <c r="AD95">
        <f>AQ95*AE77</f>
        <v>8</v>
      </c>
      <c r="AE95" s="158">
        <f>$X$1</f>
        <v>7</v>
      </c>
      <c r="AF95" s="158">
        <f>$Y$1</f>
        <v>7</v>
      </c>
      <c r="AG95" s="239" t="str">
        <f>CONCATENATE( $Z$1," ",$AA$1,"X",$AC$1)</f>
        <v>Тюльпан 2-B 300X300</v>
      </c>
      <c r="AH95" s="260"/>
      <c r="AI95" s="260"/>
      <c r="AJ95" s="240"/>
      <c r="AK95" s="154">
        <f>$R$51</f>
        <v>125</v>
      </c>
      <c r="AL95" s="154">
        <f>$R$52</f>
        <v>114</v>
      </c>
      <c r="AM95" s="154">
        <f>$R$53</f>
        <v>32</v>
      </c>
      <c r="AN95" s="154">
        <f>$R$54</f>
        <v>155</v>
      </c>
      <c r="AO95" s="154">
        <f>$U$53</f>
        <v>294</v>
      </c>
      <c r="AP95" s="154">
        <f>AO95-18</f>
        <v>276</v>
      </c>
      <c r="AQ95" s="181">
        <f>$R$55*$AI$1</f>
        <v>8</v>
      </c>
      <c r="AR95" s="158" t="str">
        <f>IF($AE$2=1,"ОЦ",IF($AE$2=2,"НЕРЖ",""))</f>
        <v>НЕРЖ</v>
      </c>
    </row>
    <row r="96" spans="13:48" ht="18">
      <c r="AE96" s="6"/>
      <c r="AF96" s="6"/>
      <c r="AG96" s="6"/>
      <c r="AH96" s="6"/>
      <c r="AI96" s="6"/>
      <c r="AJ96" s="6"/>
      <c r="AK96" s="6"/>
      <c r="AL96" s="6"/>
      <c r="AM96" s="5"/>
      <c r="AN96" s="5"/>
      <c r="AO96" s="13"/>
      <c r="AP96" s="4"/>
      <c r="AQ96" s="6"/>
      <c r="AR96" s="6"/>
      <c r="AS96" s="6"/>
      <c r="AT96" s="6"/>
      <c r="AU96" s="6"/>
    </row>
    <row r="97" spans="30:47" ht="18.75">
      <c r="AD97" t="s">
        <v>236</v>
      </c>
      <c r="AE97" s="235" t="s">
        <v>126</v>
      </c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</row>
    <row r="98" spans="30:47" ht="12.75" customHeight="1">
      <c r="AE98" s="242" t="s">
        <v>80</v>
      </c>
      <c r="AF98" s="242" t="s">
        <v>69</v>
      </c>
      <c r="AG98" s="245" t="s">
        <v>70</v>
      </c>
      <c r="AH98" s="246"/>
      <c r="AI98" s="246"/>
      <c r="AJ98" s="247"/>
      <c r="AK98" s="254" t="s">
        <v>93</v>
      </c>
      <c r="AL98" s="254"/>
      <c r="AM98" s="254"/>
      <c r="AN98" s="254"/>
      <c r="AO98" s="254"/>
      <c r="AP98" s="254"/>
      <c r="AQ98" s="255" t="s">
        <v>129</v>
      </c>
      <c r="AR98" s="255"/>
      <c r="AS98" s="255"/>
      <c r="AT98" s="229" t="s">
        <v>125</v>
      </c>
      <c r="AU98" s="6"/>
    </row>
    <row r="99" spans="30:47" ht="12.75" customHeight="1">
      <c r="AE99" s="243"/>
      <c r="AF99" s="243"/>
      <c r="AG99" s="248"/>
      <c r="AH99" s="249"/>
      <c r="AI99" s="249"/>
      <c r="AJ99" s="250"/>
      <c r="AK99" s="254"/>
      <c r="AL99" s="254"/>
      <c r="AM99" s="254"/>
      <c r="AN99" s="254"/>
      <c r="AO99" s="254"/>
      <c r="AP99" s="254"/>
      <c r="AQ99" s="255"/>
      <c r="AR99" s="255"/>
      <c r="AS99" s="255"/>
      <c r="AT99" s="229"/>
      <c r="AU99" s="6"/>
    </row>
    <row r="100" spans="30:47" ht="12.75" customHeight="1">
      <c r="AE100" s="244"/>
      <c r="AF100" s="244"/>
      <c r="AG100" s="251"/>
      <c r="AH100" s="252"/>
      <c r="AI100" s="252"/>
      <c r="AJ100" s="253"/>
      <c r="AK100" s="229" t="s">
        <v>128</v>
      </c>
      <c r="AL100" s="229"/>
      <c r="AM100" s="229"/>
      <c r="AN100" s="229"/>
      <c r="AO100" s="229" t="s">
        <v>110</v>
      </c>
      <c r="AP100" s="229"/>
      <c r="AQ100" s="255"/>
      <c r="AR100" s="255"/>
      <c r="AS100" s="255"/>
      <c r="AT100" s="89" t="s">
        <v>78</v>
      </c>
      <c r="AU100" s="6"/>
    </row>
    <row r="101" spans="30:47" ht="15.75" customHeight="1">
      <c r="AD101">
        <f>AT101*AE77</f>
        <v>4</v>
      </c>
      <c r="AE101" s="158">
        <f>$X$1</f>
        <v>7</v>
      </c>
      <c r="AF101" s="158">
        <f>$Y$1</f>
        <v>7</v>
      </c>
      <c r="AG101" s="239" t="str">
        <f>CONCATENATE( $Z$1," ",$AA$1,"X",$AC$1)</f>
        <v>Тюльпан 2-B 300X300</v>
      </c>
      <c r="AH101" s="260"/>
      <c r="AI101" s="260"/>
      <c r="AJ101" s="240"/>
      <c r="AK101" s="297">
        <f>$Q$56</f>
        <v>297</v>
      </c>
      <c r="AL101" s="297"/>
      <c r="AM101" s="297"/>
      <c r="AN101" s="297"/>
      <c r="AO101" s="297">
        <f>$Q$60</f>
        <v>276</v>
      </c>
      <c r="AP101" s="297"/>
      <c r="AQ101" s="241" t="str">
        <f>IF($Z$2=1,"---","ДПРНП 1,2 НД Л63")</f>
        <v>ДПРНП 1,2 НД Л63</v>
      </c>
      <c r="AR101" s="241"/>
      <c r="AS101" s="241"/>
      <c r="AT101" s="158">
        <f>$U$57*$AI$1</f>
        <v>4</v>
      </c>
      <c r="AU101" s="6"/>
    </row>
    <row r="104" spans="30:47" ht="12.75" customHeight="1">
      <c r="AE104" s="299" t="s">
        <v>226</v>
      </c>
      <c r="AF104" s="299"/>
      <c r="AG104" s="299"/>
      <c r="AH104" s="299"/>
      <c r="AI104" s="299"/>
      <c r="AJ104" s="299"/>
      <c r="AK104" s="299"/>
      <c r="AL104" s="299"/>
      <c r="AM104" s="299"/>
      <c r="AN104" s="299"/>
      <c r="AO104" s="299"/>
      <c r="AP104" s="299"/>
      <c r="AQ104" s="299"/>
      <c r="AR104" s="299"/>
      <c r="AS104" s="299"/>
      <c r="AT104" s="299"/>
    </row>
    <row r="105" spans="30:47" ht="12.75" customHeight="1">
      <c r="AD105" t="s">
        <v>236</v>
      </c>
      <c r="AE105" s="242" t="s">
        <v>80</v>
      </c>
      <c r="AF105" s="242" t="s">
        <v>69</v>
      </c>
      <c r="AG105" s="245" t="s">
        <v>70</v>
      </c>
      <c r="AH105" s="246"/>
      <c r="AI105" s="246"/>
      <c r="AJ105" s="247"/>
      <c r="AK105" s="254" t="s">
        <v>93</v>
      </c>
      <c r="AL105" s="254"/>
      <c r="AM105" s="254"/>
      <c r="AN105" s="254"/>
      <c r="AO105" s="254"/>
      <c r="AP105" s="254"/>
      <c r="AQ105" s="255" t="s">
        <v>129</v>
      </c>
      <c r="AR105" s="255"/>
      <c r="AS105" s="255"/>
      <c r="AT105" s="229" t="s">
        <v>125</v>
      </c>
    </row>
    <row r="106" spans="30:47" ht="12.75" customHeight="1">
      <c r="AE106" s="243"/>
      <c r="AF106" s="243"/>
      <c r="AG106" s="248"/>
      <c r="AH106" s="249"/>
      <c r="AI106" s="249"/>
      <c r="AJ106" s="250"/>
      <c r="AK106" s="254"/>
      <c r="AL106" s="254"/>
      <c r="AM106" s="254"/>
      <c r="AN106" s="254"/>
      <c r="AO106" s="254"/>
      <c r="AP106" s="254"/>
      <c r="AQ106" s="255"/>
      <c r="AR106" s="255"/>
      <c r="AS106" s="255"/>
      <c r="AT106" s="229"/>
    </row>
    <row r="107" spans="30:47">
      <c r="AE107" s="244"/>
      <c r="AF107" s="244"/>
      <c r="AG107" s="251"/>
      <c r="AH107" s="252"/>
      <c r="AI107" s="252"/>
      <c r="AJ107" s="253"/>
      <c r="AK107" s="229" t="s">
        <v>128</v>
      </c>
      <c r="AL107" s="229"/>
      <c r="AM107" s="229"/>
      <c r="AN107" s="229"/>
      <c r="AO107" s="229" t="s">
        <v>110</v>
      </c>
      <c r="AP107" s="229"/>
      <c r="AQ107" s="255"/>
      <c r="AR107" s="255"/>
      <c r="AS107" s="255"/>
      <c r="AT107" s="89" t="s">
        <v>78</v>
      </c>
    </row>
    <row r="108" spans="30:47">
      <c r="AD108">
        <f>AT108*AE77</f>
        <v>4</v>
      </c>
      <c r="AE108" s="158">
        <f>$X$1</f>
        <v>7</v>
      </c>
      <c r="AF108" s="158">
        <f>$Y$1</f>
        <v>7</v>
      </c>
      <c r="AG108" s="239" t="str">
        <f>CONCATENATE( $Z$1," ",$AA$1,"X",$AC$1)</f>
        <v>Тюльпан 2-B 300X300</v>
      </c>
      <c r="AH108" s="260"/>
      <c r="AI108" s="260"/>
      <c r="AJ108" s="240"/>
      <c r="AK108" s="297">
        <f>$Q$59</f>
        <v>297</v>
      </c>
      <c r="AL108" s="297"/>
      <c r="AM108" s="297"/>
      <c r="AN108" s="297"/>
      <c r="AO108" s="297">
        <f>$Q$60</f>
        <v>276</v>
      </c>
      <c r="AP108" s="297"/>
      <c r="AQ108" s="241" t="str">
        <f>IF($Z$2=1,"---","ДПРНП 1,2 НД Л63")</f>
        <v>ДПРНП 1,2 НД Л63</v>
      </c>
      <c r="AR108" s="241"/>
      <c r="AS108" s="241"/>
      <c r="AT108" s="158">
        <f>$U$60*$AI$1</f>
        <v>4</v>
      </c>
    </row>
    <row r="110" spans="30:47" ht="18.75" customHeight="1">
      <c r="AE110" s="235" t="s">
        <v>130</v>
      </c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</row>
    <row r="111" spans="30:47" ht="18.75">
      <c r="AD111" t="s">
        <v>236</v>
      </c>
      <c r="AE111" s="242" t="s">
        <v>80</v>
      </c>
      <c r="AF111" s="242" t="s">
        <v>69</v>
      </c>
      <c r="AG111" s="245" t="s">
        <v>70</v>
      </c>
      <c r="AH111" s="246"/>
      <c r="AI111" s="246"/>
      <c r="AJ111" s="247"/>
      <c r="AK111" s="254" t="s">
        <v>93</v>
      </c>
      <c r="AL111" s="254"/>
      <c r="AM111" s="254"/>
      <c r="AN111" s="254"/>
      <c r="AO111" s="254"/>
      <c r="AP111" s="254"/>
      <c r="AQ111" s="276" t="s">
        <v>136</v>
      </c>
      <c r="AR111" s="277"/>
      <c r="AS111" s="278"/>
      <c r="AT111" s="229" t="s">
        <v>125</v>
      </c>
      <c r="AU111" s="155"/>
    </row>
    <row r="112" spans="30:47" ht="18.75">
      <c r="AE112" s="243"/>
      <c r="AF112" s="243"/>
      <c r="AG112" s="248"/>
      <c r="AH112" s="249"/>
      <c r="AI112" s="249"/>
      <c r="AJ112" s="250"/>
      <c r="AK112" s="254"/>
      <c r="AL112" s="254"/>
      <c r="AM112" s="254"/>
      <c r="AN112" s="254"/>
      <c r="AO112" s="254"/>
      <c r="AP112" s="254"/>
      <c r="AQ112" s="279"/>
      <c r="AR112" s="280"/>
      <c r="AS112" s="281"/>
      <c r="AT112" s="229"/>
      <c r="AU112" s="155"/>
    </row>
    <row r="113" spans="30:52" ht="12.75" customHeight="1">
      <c r="AE113" s="244"/>
      <c r="AF113" s="244"/>
      <c r="AG113" s="251"/>
      <c r="AH113" s="252"/>
      <c r="AI113" s="252"/>
      <c r="AJ113" s="253"/>
      <c r="AK113" s="256" t="s">
        <v>131</v>
      </c>
      <c r="AL113" s="256"/>
      <c r="AM113" s="168" t="s">
        <v>110</v>
      </c>
      <c r="AN113" s="168" t="s">
        <v>132</v>
      </c>
      <c r="AO113" s="256" t="s">
        <v>133</v>
      </c>
      <c r="AP113" s="256"/>
      <c r="AQ113" s="282"/>
      <c r="AR113" s="283"/>
      <c r="AS113" s="284"/>
      <c r="AT113" s="89" t="s">
        <v>78</v>
      </c>
      <c r="AU113" s="155"/>
    </row>
    <row r="114" spans="30:52" ht="12.75" customHeight="1">
      <c r="AD114">
        <f>AT114*AE77</f>
        <v>8</v>
      </c>
      <c r="AE114" s="158">
        <f>$X$1</f>
        <v>7</v>
      </c>
      <c r="AF114" s="158">
        <f>$Y$1</f>
        <v>7</v>
      </c>
      <c r="AG114" s="239" t="str">
        <f>CONCATENATE( $Z$1," ",$AA$1,"X",$AC$1)</f>
        <v>Тюльпан 2-B 300X300</v>
      </c>
      <c r="AH114" s="260"/>
      <c r="AI114" s="260"/>
      <c r="AJ114" s="240"/>
      <c r="AK114" s="298">
        <f>$Q$62</f>
        <v>299.39999999999998</v>
      </c>
      <c r="AL114" s="298"/>
      <c r="AM114" s="183">
        <f>$Q$63</f>
        <v>276</v>
      </c>
      <c r="AN114" s="183">
        <f>$Q$64</f>
        <v>92</v>
      </c>
      <c r="AO114" s="298">
        <f>$U$62</f>
        <v>35.299999999999997</v>
      </c>
      <c r="AP114" s="298"/>
      <c r="AQ114" s="239" t="str">
        <f>IF($AE$2=1,"ОЦ",IF($AE$2=2,"НЕРЖ",""))</f>
        <v>НЕРЖ</v>
      </c>
      <c r="AR114" s="260" t="str">
        <f>IF('Исходные данные'!$Y$27=1,"ОЦ",IF('Исходные данные'!$Y$27=2,"НЕРЖ",""))</f>
        <v/>
      </c>
      <c r="AS114" s="240" t="str">
        <f>IF('Исходные данные'!$Y$27=1,"ОЦ",IF('Исходные данные'!$Y$27=2,"НЕРЖ",""))</f>
        <v/>
      </c>
      <c r="AT114" s="158">
        <f>$AI$1*$U$63</f>
        <v>8</v>
      </c>
      <c r="AU114" s="155"/>
    </row>
    <row r="116" spans="30:52" ht="12.75" customHeight="1">
      <c r="AD116" t="s">
        <v>236</v>
      </c>
      <c r="AE116" s="235" t="s">
        <v>227</v>
      </c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</row>
    <row r="117" spans="30:52" ht="12.75" customHeight="1">
      <c r="AE117" s="242" t="s">
        <v>80</v>
      </c>
      <c r="AF117" s="242" t="s">
        <v>69</v>
      </c>
      <c r="AG117" s="245" t="s">
        <v>70</v>
      </c>
      <c r="AH117" s="246"/>
      <c r="AI117" s="246"/>
      <c r="AJ117" s="247"/>
      <c r="AK117" s="245" t="s">
        <v>93</v>
      </c>
      <c r="AL117" s="246"/>
      <c r="AM117" s="246"/>
      <c r="AN117" s="246"/>
      <c r="AO117" s="246"/>
      <c r="AP117" s="246"/>
      <c r="AQ117" s="246"/>
      <c r="AR117" s="247"/>
      <c r="AS117" s="255" t="s">
        <v>140</v>
      </c>
      <c r="AT117" s="229" t="s">
        <v>125</v>
      </c>
    </row>
    <row r="118" spans="30:52" ht="12.75" customHeight="1">
      <c r="AE118" s="243"/>
      <c r="AF118" s="243"/>
      <c r="AG118" s="248"/>
      <c r="AH118" s="249"/>
      <c r="AI118" s="249"/>
      <c r="AJ118" s="250"/>
      <c r="AK118" s="251"/>
      <c r="AL118" s="252"/>
      <c r="AM118" s="252"/>
      <c r="AN118" s="252"/>
      <c r="AO118" s="252"/>
      <c r="AP118" s="252"/>
      <c r="AQ118" s="252"/>
      <c r="AR118" s="253"/>
      <c r="AS118" s="255"/>
      <c r="AT118" s="229"/>
    </row>
    <row r="119" spans="30:52" ht="16.5" customHeight="1">
      <c r="AE119" s="244"/>
      <c r="AF119" s="244"/>
      <c r="AG119" s="251"/>
      <c r="AH119" s="252"/>
      <c r="AI119" s="252"/>
      <c r="AJ119" s="253"/>
      <c r="AK119" s="256" t="s">
        <v>228</v>
      </c>
      <c r="AL119" s="256"/>
      <c r="AM119" s="256" t="s">
        <v>134</v>
      </c>
      <c r="AN119" s="256"/>
      <c r="AO119" s="256" t="s">
        <v>229</v>
      </c>
      <c r="AP119" s="256"/>
      <c r="AQ119" s="256" t="s">
        <v>230</v>
      </c>
      <c r="AR119" s="256"/>
      <c r="AS119" s="255"/>
      <c r="AT119" s="89" t="s">
        <v>78</v>
      </c>
    </row>
    <row r="120" spans="30:52" ht="15">
      <c r="AD120">
        <f>AT120*AE77</f>
        <v>4</v>
      </c>
      <c r="AE120" s="158">
        <f>$X$1</f>
        <v>7</v>
      </c>
      <c r="AF120" s="158">
        <f>$Y$1</f>
        <v>7</v>
      </c>
      <c r="AG120" s="239" t="str">
        <f>CONCATENATE( $Z$1," ",$AA$1,"X",$AC$1)</f>
        <v>Тюльпан 2-B 300X300</v>
      </c>
      <c r="AH120" s="260"/>
      <c r="AI120" s="260"/>
      <c r="AJ120" s="240"/>
      <c r="AK120" s="298">
        <f>$Q$66</f>
        <v>326.60000000000002</v>
      </c>
      <c r="AL120" s="298"/>
      <c r="AM120" s="298">
        <f>$Q$67</f>
        <v>28</v>
      </c>
      <c r="AN120" s="298"/>
      <c r="AO120" s="298">
        <f>$U$65</f>
        <v>58</v>
      </c>
      <c r="AP120" s="298"/>
      <c r="AQ120" s="298">
        <f>$U$66</f>
        <v>51.6</v>
      </c>
      <c r="AR120" s="298"/>
      <c r="AS120" s="170" t="str">
        <f>IF($AE$2=1,"ОЦ",IF($AE$2=2,"НЕРЖ",""))</f>
        <v>НЕРЖ</v>
      </c>
      <c r="AT120" s="158">
        <f>$AI$1</f>
        <v>4</v>
      </c>
    </row>
    <row r="122" spans="30:52" ht="18.75" customHeight="1">
      <c r="AD122" t="s">
        <v>236</v>
      </c>
      <c r="AE122" s="286" t="s">
        <v>231</v>
      </c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6"/>
      <c r="AW122" s="6"/>
      <c r="AX122" s="6"/>
      <c r="AY122" s="6"/>
      <c r="AZ122" s="6"/>
    </row>
    <row r="123" spans="30:52">
      <c r="AE123" s="242" t="s">
        <v>80</v>
      </c>
      <c r="AF123" s="242" t="s">
        <v>69</v>
      </c>
      <c r="AG123" s="245" t="s">
        <v>70</v>
      </c>
      <c r="AH123" s="246"/>
      <c r="AI123" s="246"/>
      <c r="AJ123" s="247"/>
      <c r="AK123" s="254" t="s">
        <v>93</v>
      </c>
      <c r="AL123" s="254"/>
      <c r="AM123" s="254"/>
      <c r="AN123" s="254"/>
      <c r="AO123" s="254"/>
      <c r="AP123" s="254"/>
      <c r="AQ123" s="254"/>
      <c r="AR123" s="254"/>
      <c r="AS123" s="255" t="s">
        <v>140</v>
      </c>
      <c r="AT123" s="229" t="s">
        <v>125</v>
      </c>
      <c r="AU123" s="294" t="s">
        <v>148</v>
      </c>
      <c r="AV123" s="294"/>
      <c r="AW123" s="294"/>
      <c r="AX123" s="294"/>
      <c r="AY123" s="294"/>
      <c r="AZ123" s="294"/>
    </row>
    <row r="124" spans="30:52">
      <c r="AE124" s="243"/>
      <c r="AF124" s="243"/>
      <c r="AG124" s="248"/>
      <c r="AH124" s="249"/>
      <c r="AI124" s="249"/>
      <c r="AJ124" s="250"/>
      <c r="AK124" s="254"/>
      <c r="AL124" s="254"/>
      <c r="AM124" s="254"/>
      <c r="AN124" s="254"/>
      <c r="AO124" s="254"/>
      <c r="AP124" s="254"/>
      <c r="AQ124" s="254"/>
      <c r="AR124" s="254"/>
      <c r="AS124" s="255"/>
      <c r="AT124" s="229"/>
      <c r="AU124" s="294"/>
      <c r="AV124" s="294"/>
      <c r="AW124" s="294"/>
      <c r="AX124" s="294"/>
      <c r="AY124" s="294"/>
      <c r="AZ124" s="294"/>
    </row>
    <row r="125" spans="30:52" ht="18.75">
      <c r="AE125" s="244"/>
      <c r="AF125" s="244"/>
      <c r="AG125" s="251"/>
      <c r="AH125" s="252"/>
      <c r="AI125" s="252"/>
      <c r="AJ125" s="253"/>
      <c r="AK125" s="180" t="s">
        <v>141</v>
      </c>
      <c r="AL125" s="180" t="s">
        <v>142</v>
      </c>
      <c r="AM125" s="180" t="s">
        <v>99</v>
      </c>
      <c r="AN125" s="180" t="s">
        <v>232</v>
      </c>
      <c r="AO125" s="180" t="s">
        <v>117</v>
      </c>
      <c r="AP125" s="180" t="s">
        <v>102</v>
      </c>
      <c r="AQ125" s="180" t="s">
        <v>221</v>
      </c>
      <c r="AR125" s="180" t="s">
        <v>233</v>
      </c>
      <c r="AS125" s="255"/>
      <c r="AT125" s="89" t="s">
        <v>78</v>
      </c>
      <c r="AU125" s="153"/>
      <c r="AV125" s="106" t="s">
        <v>0</v>
      </c>
      <c r="AW125" s="106" t="s">
        <v>79</v>
      </c>
      <c r="AX125" s="106" t="s">
        <v>1</v>
      </c>
      <c r="AY125" s="106" t="s">
        <v>79</v>
      </c>
      <c r="AZ125" s="106" t="s">
        <v>89</v>
      </c>
    </row>
    <row r="126" spans="30:52" ht="18">
      <c r="AD126">
        <f>AT126*AE77</f>
        <v>4</v>
      </c>
      <c r="AE126" s="158">
        <f>$X$1</f>
        <v>7</v>
      </c>
      <c r="AF126" s="158">
        <f>$Y$1</f>
        <v>7</v>
      </c>
      <c r="AG126" s="239" t="str">
        <f>CONCATENATE( $Z$1," ",$AA$1,"X",$AC$1)</f>
        <v>Тюльпан 2-B 300X300</v>
      </c>
      <c r="AH126" s="260"/>
      <c r="AI126" s="260"/>
      <c r="AJ126" s="240"/>
      <c r="AK126" s="182">
        <f>$Q$70</f>
        <v>330</v>
      </c>
      <c r="AL126" s="182">
        <f>$Q$69</f>
        <v>303</v>
      </c>
      <c r="AM126" s="182">
        <f>$T$69</f>
        <v>360</v>
      </c>
      <c r="AN126" s="182">
        <f>$T$70</f>
        <v>330</v>
      </c>
      <c r="AO126" s="182">
        <f>'Лист1 (2)'!$I$32</f>
        <v>3</v>
      </c>
      <c r="AP126" s="182">
        <f>'Лист1 (2)'!$I$32</f>
        <v>3</v>
      </c>
      <c r="AQ126" s="182">
        <f>$Q$71</f>
        <v>110</v>
      </c>
      <c r="AR126" s="182">
        <f>$T$71</f>
        <v>110</v>
      </c>
      <c r="AS126" s="170" t="str">
        <f>IF($AE$2=1,"ОЦ",IF($AE$2=2,"НЕРЖ",""))</f>
        <v>НЕРЖ</v>
      </c>
      <c r="AT126" s="158">
        <f>$AF$1*$U$73</f>
        <v>4</v>
      </c>
      <c r="AU126" s="107" t="s">
        <v>147</v>
      </c>
      <c r="AV126" s="108">
        <f>$AA$1</f>
        <v>300</v>
      </c>
      <c r="AW126" s="109" t="s">
        <v>79</v>
      </c>
      <c r="AX126" s="108">
        <f>$AC$1</f>
        <v>300</v>
      </c>
      <c r="AY126" s="109" t="s">
        <v>79</v>
      </c>
      <c r="AZ126" s="108">
        <f>$AH$1</f>
        <v>300</v>
      </c>
    </row>
    <row r="127" spans="30:52" ht="15.75" customHeight="1"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</row>
    <row r="128" spans="30:52" ht="18.75" customHeight="1">
      <c r="AD128" t="s">
        <v>236</v>
      </c>
      <c r="AE128" s="235" t="s">
        <v>137</v>
      </c>
      <c r="AF128" s="235"/>
      <c r="AG128" s="235"/>
      <c r="AH128" s="235"/>
      <c r="AI128" s="235"/>
      <c r="AJ128" s="235"/>
      <c r="AK128" s="235"/>
      <c r="AL128" s="235"/>
      <c r="AM128" s="235"/>
      <c r="AN128" s="235"/>
      <c r="AO128" s="235"/>
      <c r="AP128" s="235"/>
      <c r="AQ128" s="235"/>
      <c r="AR128" s="235"/>
      <c r="AS128" s="235"/>
      <c r="AT128" s="235"/>
      <c r="AU128" s="235"/>
    </row>
    <row r="129" spans="30:52" ht="12.75" customHeight="1">
      <c r="AE129" s="242" t="s">
        <v>80</v>
      </c>
      <c r="AF129" s="242" t="s">
        <v>69</v>
      </c>
      <c r="AG129" s="245" t="s">
        <v>70</v>
      </c>
      <c r="AH129" s="246"/>
      <c r="AI129" s="246"/>
      <c r="AJ129" s="247"/>
      <c r="AK129" s="254" t="s">
        <v>138</v>
      </c>
      <c r="AL129" s="254"/>
      <c r="AM129" s="254"/>
      <c r="AN129" s="229" t="s">
        <v>125</v>
      </c>
      <c r="AO129" s="229"/>
      <c r="AP129" s="293" t="s">
        <v>133</v>
      </c>
      <c r="AQ129" s="293"/>
      <c r="AR129" s="155"/>
      <c r="AS129" s="155"/>
      <c r="AT129" s="155"/>
      <c r="AU129" s="155"/>
    </row>
    <row r="130" spans="30:52" ht="18.75">
      <c r="AE130" s="243"/>
      <c r="AF130" s="243"/>
      <c r="AG130" s="248"/>
      <c r="AH130" s="249"/>
      <c r="AI130" s="249"/>
      <c r="AJ130" s="250"/>
      <c r="AK130" s="254"/>
      <c r="AL130" s="254"/>
      <c r="AM130" s="254"/>
      <c r="AN130" s="229"/>
      <c r="AO130" s="229"/>
      <c r="AP130" s="293"/>
      <c r="AQ130" s="293"/>
      <c r="AR130" s="155"/>
      <c r="AS130" s="155"/>
      <c r="AT130" s="155"/>
      <c r="AU130" s="155"/>
    </row>
    <row r="131" spans="30:52" ht="18.75">
      <c r="AE131" s="244"/>
      <c r="AF131" s="244"/>
      <c r="AG131" s="251"/>
      <c r="AH131" s="252"/>
      <c r="AI131" s="252"/>
      <c r="AJ131" s="253"/>
      <c r="AK131" s="254"/>
      <c r="AL131" s="254"/>
      <c r="AM131" s="254"/>
      <c r="AN131" s="229" t="s">
        <v>78</v>
      </c>
      <c r="AO131" s="229"/>
      <c r="AP131" s="293"/>
      <c r="AQ131" s="293"/>
      <c r="AR131" s="155"/>
      <c r="AS131" s="155"/>
      <c r="AT131" s="155"/>
      <c r="AU131" s="155"/>
    </row>
    <row r="132" spans="30:52" ht="18.75">
      <c r="AD132">
        <f>AN132*AE77</f>
        <v>16</v>
      </c>
      <c r="AE132" s="158">
        <f>$X$1</f>
        <v>7</v>
      </c>
      <c r="AF132" s="158">
        <f>$Y$1</f>
        <v>7</v>
      </c>
      <c r="AG132" s="239" t="str">
        <f>CONCATENATE( $Z$1," ",$AA$1,"X",$AC$1)</f>
        <v>Тюльпан 2-B 300X300</v>
      </c>
      <c r="AH132" s="260"/>
      <c r="AI132" s="260"/>
      <c r="AJ132" s="240"/>
      <c r="AK132" s="296" t="s">
        <v>252</v>
      </c>
      <c r="AL132" s="296"/>
      <c r="AM132" s="296"/>
      <c r="AN132" s="297">
        <f>$S$74*$AI$1*$V$75</f>
        <v>16</v>
      </c>
      <c r="AO132" s="297"/>
      <c r="AP132" s="297">
        <v>29</v>
      </c>
      <c r="AQ132" s="297"/>
      <c r="AR132" s="155"/>
      <c r="AS132" s="155"/>
      <c r="AT132" s="155"/>
      <c r="AU132" s="155"/>
    </row>
    <row r="133" spans="30:52"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</row>
    <row r="134" spans="30:52" ht="18.75">
      <c r="AD134" t="s">
        <v>236</v>
      </c>
      <c r="AE134" s="235" t="s">
        <v>239</v>
      </c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</row>
    <row r="135" spans="30:52" ht="18.75">
      <c r="AE135" s="242" t="s">
        <v>80</v>
      </c>
      <c r="AF135" s="242" t="s">
        <v>69</v>
      </c>
      <c r="AG135" s="245" t="s">
        <v>70</v>
      </c>
      <c r="AH135" s="246"/>
      <c r="AI135" s="246"/>
      <c r="AJ135" s="247"/>
      <c r="AK135" s="254" t="s">
        <v>138</v>
      </c>
      <c r="AL135" s="254"/>
      <c r="AM135" s="254"/>
      <c r="AN135" s="229" t="s">
        <v>125</v>
      </c>
      <c r="AO135" s="229"/>
      <c r="AP135" s="293" t="s">
        <v>133</v>
      </c>
      <c r="AQ135" s="293"/>
      <c r="AR135" s="155"/>
      <c r="AS135" s="155"/>
      <c r="AT135" s="155"/>
      <c r="AU135" s="155"/>
    </row>
    <row r="136" spans="30:52" ht="18.75">
      <c r="AE136" s="243"/>
      <c r="AF136" s="243"/>
      <c r="AG136" s="248"/>
      <c r="AH136" s="249"/>
      <c r="AI136" s="249"/>
      <c r="AJ136" s="250"/>
      <c r="AK136" s="254"/>
      <c r="AL136" s="254"/>
      <c r="AM136" s="254"/>
      <c r="AN136" s="229"/>
      <c r="AO136" s="229"/>
      <c r="AP136" s="293"/>
      <c r="AQ136" s="293"/>
      <c r="AR136" s="155"/>
      <c r="AS136" s="155"/>
      <c r="AT136" s="155"/>
      <c r="AU136" s="155"/>
    </row>
    <row r="137" spans="30:52" ht="18.75">
      <c r="AE137" s="244"/>
      <c r="AF137" s="244"/>
      <c r="AG137" s="251"/>
      <c r="AH137" s="252"/>
      <c r="AI137" s="252"/>
      <c r="AJ137" s="253"/>
      <c r="AK137" s="254"/>
      <c r="AL137" s="254"/>
      <c r="AM137" s="254"/>
      <c r="AN137" s="229" t="s">
        <v>78</v>
      </c>
      <c r="AO137" s="229"/>
      <c r="AP137" s="293"/>
      <c r="AQ137" s="293"/>
      <c r="AR137" s="155"/>
      <c r="AS137" s="155"/>
      <c r="AT137" s="155"/>
      <c r="AU137" s="155"/>
    </row>
    <row r="138" spans="30:52" ht="18.75">
      <c r="AD138">
        <f>AN138*AE77</f>
        <v>0</v>
      </c>
      <c r="AE138" s="158">
        <f>$X$1</f>
        <v>7</v>
      </c>
      <c r="AF138" s="158">
        <f>$Y$1</f>
        <v>7</v>
      </c>
      <c r="AG138" s="239" t="str">
        <f>CONCATENATE( $Z$1," ",$AA$1,"X",$AC$1)</f>
        <v>Тюльпан 2-B 300X300</v>
      </c>
      <c r="AH138" s="260"/>
      <c r="AI138" s="260"/>
      <c r="AJ138" s="240"/>
      <c r="AK138" s="296" t="str">
        <f>IF($AE$2=1,"ОЦ 1,5","ДПРНП 1,2 НД Л63")</f>
        <v>ДПРНП 1,2 НД Л63</v>
      </c>
      <c r="AL138" s="296"/>
      <c r="AM138" s="296"/>
      <c r="AN138" s="297">
        <f>0</f>
        <v>0</v>
      </c>
      <c r="AO138" s="297"/>
      <c r="AP138" s="297">
        <v>29</v>
      </c>
      <c r="AQ138" s="297"/>
      <c r="AR138" s="155"/>
      <c r="AS138" s="155"/>
      <c r="AT138" s="155"/>
      <c r="AU138" s="155"/>
    </row>
    <row r="140" spans="30:52">
      <c r="AZ140" t="s">
        <v>237</v>
      </c>
    </row>
  </sheetData>
  <mergeCells count="269">
    <mergeCell ref="AP135:AQ137"/>
    <mergeCell ref="AN137:AO137"/>
    <mergeCell ref="AG138:AJ138"/>
    <mergeCell ref="AK138:AM138"/>
    <mergeCell ref="AN138:AO138"/>
    <mergeCell ref="AP138:AQ138"/>
    <mergeCell ref="AG132:AJ132"/>
    <mergeCell ref="AK132:AM132"/>
    <mergeCell ref="AN132:AO132"/>
    <mergeCell ref="AP132:AQ132"/>
    <mergeCell ref="AE134:AU134"/>
    <mergeCell ref="AE135:AE137"/>
    <mergeCell ref="AF135:AF137"/>
    <mergeCell ref="AG135:AJ137"/>
    <mergeCell ref="AK135:AM137"/>
    <mergeCell ref="AN135:AO136"/>
    <mergeCell ref="AG126:AJ126"/>
    <mergeCell ref="AE128:AU128"/>
    <mergeCell ref="AE129:AE131"/>
    <mergeCell ref="AF129:AF131"/>
    <mergeCell ref="AG129:AJ131"/>
    <mergeCell ref="AK129:AM131"/>
    <mergeCell ref="AN129:AO130"/>
    <mergeCell ref="AP129:AQ131"/>
    <mergeCell ref="AN131:AO131"/>
    <mergeCell ref="AQ120:AR120"/>
    <mergeCell ref="AT117:AT118"/>
    <mergeCell ref="AK119:AL119"/>
    <mergeCell ref="AQ119:AR119"/>
    <mergeCell ref="AE122:AU122"/>
    <mergeCell ref="AE123:AE125"/>
    <mergeCell ref="AF123:AF125"/>
    <mergeCell ref="AG123:AJ125"/>
    <mergeCell ref="AK123:AR124"/>
    <mergeCell ref="AS123:AS125"/>
    <mergeCell ref="AT123:AT124"/>
    <mergeCell ref="AU123:AZ124"/>
    <mergeCell ref="AG120:AJ120"/>
    <mergeCell ref="AK120:AL120"/>
    <mergeCell ref="AM120:AN120"/>
    <mergeCell ref="AO120:AP120"/>
    <mergeCell ref="AG114:AJ114"/>
    <mergeCell ref="AK114:AL114"/>
    <mergeCell ref="AO114:AP114"/>
    <mergeCell ref="AQ114:AS114"/>
    <mergeCell ref="AE116:AU116"/>
    <mergeCell ref="AM119:AN119"/>
    <mergeCell ref="AE110:AU110"/>
    <mergeCell ref="AE111:AE113"/>
    <mergeCell ref="AF111:AF113"/>
    <mergeCell ref="AG111:AJ113"/>
    <mergeCell ref="AK111:AP112"/>
    <mergeCell ref="AQ111:AS113"/>
    <mergeCell ref="AT111:AT112"/>
    <mergeCell ref="AK113:AL113"/>
    <mergeCell ref="AO119:AP119"/>
    <mergeCell ref="AE117:AE119"/>
    <mergeCell ref="AF117:AF119"/>
    <mergeCell ref="AG117:AJ119"/>
    <mergeCell ref="AK117:AR118"/>
    <mergeCell ref="AS117:AS119"/>
    <mergeCell ref="AG108:AJ108"/>
    <mergeCell ref="AK108:AN108"/>
    <mergeCell ref="AO108:AP108"/>
    <mergeCell ref="AQ108:AS108"/>
    <mergeCell ref="AG101:AJ101"/>
    <mergeCell ref="AK101:AN101"/>
    <mergeCell ref="AO101:AP101"/>
    <mergeCell ref="AQ101:AS101"/>
    <mergeCell ref="AO113:AP113"/>
    <mergeCell ref="AF105:AF107"/>
    <mergeCell ref="AG105:AJ107"/>
    <mergeCell ref="AK105:AP106"/>
    <mergeCell ref="AQ105:AS107"/>
    <mergeCell ref="AG95:AJ95"/>
    <mergeCell ref="AE97:AU97"/>
    <mergeCell ref="AE98:AE100"/>
    <mergeCell ref="AF98:AF100"/>
    <mergeCell ref="AG98:AJ100"/>
    <mergeCell ref="AK98:AP99"/>
    <mergeCell ref="AQ98:AS100"/>
    <mergeCell ref="AT98:AT99"/>
    <mergeCell ref="AK100:AN100"/>
    <mergeCell ref="AO100:AP100"/>
    <mergeCell ref="AE105:AE107"/>
    <mergeCell ref="AE104:AT104"/>
    <mergeCell ref="AT105:AT106"/>
    <mergeCell ref="AK107:AN107"/>
    <mergeCell ref="AO107:AP107"/>
    <mergeCell ref="AE91:AU91"/>
    <mergeCell ref="AE92:AE94"/>
    <mergeCell ref="AF92:AF94"/>
    <mergeCell ref="AG92:AJ94"/>
    <mergeCell ref="AK92:AP93"/>
    <mergeCell ref="AR92:AR94"/>
    <mergeCell ref="AR87:AS87"/>
    <mergeCell ref="AK88:AL88"/>
    <mergeCell ref="AR88:AS88"/>
    <mergeCell ref="AG89:AJ89"/>
    <mergeCell ref="AK89:AL89"/>
    <mergeCell ref="AR89:AS89"/>
    <mergeCell ref="AK86:AQ87"/>
    <mergeCell ref="AG83:AJ83"/>
    <mergeCell ref="AR80:AR82"/>
    <mergeCell ref="AE85:AU85"/>
    <mergeCell ref="AE86:AE88"/>
    <mergeCell ref="AF86:AF88"/>
    <mergeCell ref="AG86:AJ88"/>
    <mergeCell ref="AR86:AT86"/>
    <mergeCell ref="AU86:AU88"/>
    <mergeCell ref="AG71:AJ71"/>
    <mergeCell ref="AE79:AU79"/>
    <mergeCell ref="AE80:AE82"/>
    <mergeCell ref="AF80:AF82"/>
    <mergeCell ref="AG80:AJ82"/>
    <mergeCell ref="AS80:AS82"/>
    <mergeCell ref="AK71:AL71"/>
    <mergeCell ref="AG35:AJ35"/>
    <mergeCell ref="AG41:AJ41"/>
    <mergeCell ref="AG47:AJ47"/>
    <mergeCell ref="AG53:AJ53"/>
    <mergeCell ref="AG59:AJ59"/>
    <mergeCell ref="AG65:AJ65"/>
    <mergeCell ref="AK65:AM65"/>
    <mergeCell ref="AN65:AO65"/>
    <mergeCell ref="AK47:AN47"/>
    <mergeCell ref="AO47:AP47"/>
    <mergeCell ref="AG38:AJ40"/>
    <mergeCell ref="AK38:AP39"/>
    <mergeCell ref="AK52:AL52"/>
    <mergeCell ref="AO52:AP52"/>
    <mergeCell ref="AK53:AL53"/>
    <mergeCell ref="AO53:AP53"/>
    <mergeCell ref="AP65:AQ65"/>
    <mergeCell ref="AE67:AU67"/>
    <mergeCell ref="AE68:AE70"/>
    <mergeCell ref="AF68:AF70"/>
    <mergeCell ref="AG68:AJ70"/>
    <mergeCell ref="AK68:AR69"/>
    <mergeCell ref="AS68:AS70"/>
    <mergeCell ref="AT68:AT69"/>
    <mergeCell ref="AK59:AL59"/>
    <mergeCell ref="AP59:AR59"/>
    <mergeCell ref="AE61:AU61"/>
    <mergeCell ref="AE62:AE64"/>
    <mergeCell ref="AF62:AF64"/>
    <mergeCell ref="AG62:AJ64"/>
    <mergeCell ref="AK62:AM64"/>
    <mergeCell ref="AN62:AO63"/>
    <mergeCell ref="AP62:AQ64"/>
    <mergeCell ref="AN64:AO64"/>
    <mergeCell ref="AU68:AZ69"/>
    <mergeCell ref="AK70:AL70"/>
    <mergeCell ref="S67:T67"/>
    <mergeCell ref="S73:T73"/>
    <mergeCell ref="P74:R74"/>
    <mergeCell ref="AE26:AE28"/>
    <mergeCell ref="S57:T57"/>
    <mergeCell ref="AE37:AU37"/>
    <mergeCell ref="AE38:AE40"/>
    <mergeCell ref="AF38:AF40"/>
    <mergeCell ref="AG26:AJ28"/>
    <mergeCell ref="AK26:AM27"/>
    <mergeCell ref="AS26:AT27"/>
    <mergeCell ref="AU26:AU27"/>
    <mergeCell ref="AE31:AU31"/>
    <mergeCell ref="AE32:AE34"/>
    <mergeCell ref="AF32:AF34"/>
    <mergeCell ref="AG32:AJ34"/>
    <mergeCell ref="AK32:AP33"/>
    <mergeCell ref="AQ32:AS32"/>
    <mergeCell ref="AQ39:AU39"/>
    <mergeCell ref="AQ40:AS40"/>
    <mergeCell ref="AQ41:AS41"/>
    <mergeCell ref="AT32:AU32"/>
    <mergeCell ref="AQ33:AR33"/>
    <mergeCell ref="AK34:AL34"/>
    <mergeCell ref="R1:T1"/>
    <mergeCell ref="U1:V2"/>
    <mergeCell ref="N2:O2"/>
    <mergeCell ref="P2:Q2"/>
    <mergeCell ref="R2:T2"/>
    <mergeCell ref="N1:O1"/>
    <mergeCell ref="AF26:AF28"/>
    <mergeCell ref="S60:T60"/>
    <mergeCell ref="S63:T63"/>
    <mergeCell ref="AE49:AU49"/>
    <mergeCell ref="AE50:AE52"/>
    <mergeCell ref="AF50:AF52"/>
    <mergeCell ref="AG50:AJ52"/>
    <mergeCell ref="AK50:AP51"/>
    <mergeCell ref="AQ50:AS52"/>
    <mergeCell ref="AT50:AT51"/>
    <mergeCell ref="AE43:AU43"/>
    <mergeCell ref="AE44:AE46"/>
    <mergeCell ref="AF44:AF46"/>
    <mergeCell ref="AG44:AJ46"/>
    <mergeCell ref="AK44:AP45"/>
    <mergeCell ref="AQ44:AS46"/>
    <mergeCell ref="AT44:AT45"/>
    <mergeCell ref="AK46:AN46"/>
    <mergeCell ref="G65:H65"/>
    <mergeCell ref="D68:F68"/>
    <mergeCell ref="B1:E1"/>
    <mergeCell ref="F1:H1"/>
    <mergeCell ref="I1:J2"/>
    <mergeCell ref="B2:E2"/>
    <mergeCell ref="F2:H2"/>
    <mergeCell ref="G50:H50"/>
    <mergeCell ref="P1:Q1"/>
    <mergeCell ref="G58:H58"/>
    <mergeCell ref="BB25:BB26"/>
    <mergeCell ref="BC25:BE26"/>
    <mergeCell ref="BF25:BF26"/>
    <mergeCell ref="BG25:BH26"/>
    <mergeCell ref="BI25:BM26"/>
    <mergeCell ref="G61:H61"/>
    <mergeCell ref="AE25:AU25"/>
    <mergeCell ref="AV38:AV40"/>
    <mergeCell ref="AV32:AV34"/>
    <mergeCell ref="AQ34:AR34"/>
    <mergeCell ref="AK35:AL35"/>
    <mergeCell ref="AQ35:AR35"/>
    <mergeCell ref="AQ47:AS47"/>
    <mergeCell ref="AO46:AP46"/>
    <mergeCell ref="AE56:AE58"/>
    <mergeCell ref="AF56:AF58"/>
    <mergeCell ref="AG56:AJ58"/>
    <mergeCell ref="AK56:AR57"/>
    <mergeCell ref="AS56:AS58"/>
    <mergeCell ref="AK58:AL58"/>
    <mergeCell ref="AP58:AR58"/>
    <mergeCell ref="AQ53:AS53"/>
    <mergeCell ref="AE55:AU55"/>
    <mergeCell ref="AG29:AJ29"/>
    <mergeCell ref="BP25:BP26"/>
    <mergeCell ref="BQ25:BQ26"/>
    <mergeCell ref="BG45:BH45"/>
    <mergeCell ref="BG46:BH46"/>
    <mergeCell ref="BG35:BH35"/>
    <mergeCell ref="BG32:BH32"/>
    <mergeCell ref="BG40:BH40"/>
    <mergeCell ref="BG41:BH41"/>
    <mergeCell ref="CJ25:CK25"/>
    <mergeCell ref="CH46:CI46"/>
    <mergeCell ref="CH45:CI45"/>
    <mergeCell ref="CH41:CI41"/>
    <mergeCell ref="CC24:CN24"/>
    <mergeCell ref="BR25:BR26"/>
    <mergeCell ref="BS25:BU26"/>
    <mergeCell ref="BV25:BV26"/>
    <mergeCell ref="BW25:CA26"/>
    <mergeCell ref="CH40:CI40"/>
    <mergeCell ref="CC25:CC26"/>
    <mergeCell ref="CD25:CF26"/>
    <mergeCell ref="CG25:CG26"/>
    <mergeCell ref="CH25:CI26"/>
    <mergeCell ref="CH32:CI32"/>
    <mergeCell ref="CH35:CI35"/>
    <mergeCell ref="CL25:CL26"/>
    <mergeCell ref="CX44:CY44"/>
    <mergeCell ref="CX45:CY45"/>
    <mergeCell ref="CT25:CV25"/>
    <mergeCell ref="CX25:CY25"/>
    <mergeCell ref="CZ25:DD25"/>
    <mergeCell ref="CX31:CY31"/>
    <mergeCell ref="CX34:CY34"/>
    <mergeCell ref="CX39:CY39"/>
    <mergeCell ref="CX40:CY40"/>
  </mergeCells>
  <dataValidations disablePrompts="1" count="2">
    <dataValidation type="list" allowBlank="1" showInputMessage="1" showErrorMessage="1" sqref="Z1">
      <formula1>$K$8:$K$11</formula1>
    </dataValidation>
    <dataValidation type="list" allowBlank="1" showInputMessage="1" showErrorMessage="1" sqref="AE1">
      <formula1>$M$9:$M$10</formula1>
    </dataValidation>
  </dataValidations>
  <printOptions horizontalCentered="1" verticalCentered="1"/>
  <pageMargins left="0.59055118110236227" right="0.19685039370078741" top="0.19685039370078741" bottom="0.19685039370078741" header="0.51181102362204722" footer="0.51181102362204722"/>
  <pageSetup paperSize="9" scale="73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>
    <pageSetUpPr fitToPage="1"/>
  </sheetPr>
  <dimension ref="A1:AQ71"/>
  <sheetViews>
    <sheetView tabSelected="1" topLeftCell="K18" workbookViewId="0">
      <selection activeCell="W25" sqref="W25"/>
    </sheetView>
  </sheetViews>
  <sheetFormatPr defaultRowHeight="12.75"/>
  <cols>
    <col min="1" max="1" width="9.85546875" hidden="1" customWidth="1"/>
    <col min="2" max="5" width="0" hidden="1" customWidth="1"/>
    <col min="6" max="6" width="10.85546875" hidden="1" customWidth="1"/>
    <col min="7" max="7" width="10.28515625" hidden="1" customWidth="1"/>
    <col min="8" max="8" width="10.5703125" hidden="1" customWidth="1"/>
    <col min="9" max="9" width="10.85546875" hidden="1" customWidth="1"/>
    <col min="10" max="10" width="8.7109375" hidden="1" customWidth="1"/>
    <col min="12" max="12" width="11" customWidth="1"/>
    <col min="13" max="14" width="15.7109375" customWidth="1"/>
    <col min="15" max="15" width="7.140625" customWidth="1"/>
    <col min="16" max="16" width="3.5703125" customWidth="1"/>
    <col min="17" max="17" width="7.140625" customWidth="1"/>
    <col min="18" max="18" width="2.85546875" customWidth="1"/>
    <col min="19" max="19" width="9.7109375" customWidth="1"/>
    <col min="20" max="20" width="2.7109375" customWidth="1"/>
    <col min="21" max="21" width="3.42578125" customWidth="1"/>
    <col min="22" max="22" width="4" customWidth="1"/>
    <col min="23" max="23" width="10.42578125" customWidth="1"/>
  </cols>
  <sheetData>
    <row r="1" spans="1:41" ht="45.75" hidden="1" customHeight="1" thickBot="1">
      <c r="A1" s="43" t="s">
        <v>9</v>
      </c>
      <c r="B1" s="262" t="s">
        <v>0</v>
      </c>
      <c r="C1" s="263"/>
      <c r="D1" s="263"/>
      <c r="E1" s="264"/>
      <c r="F1" s="262" t="s">
        <v>1</v>
      </c>
      <c r="G1" s="263"/>
      <c r="H1" s="264"/>
      <c r="I1" s="265" t="s">
        <v>67</v>
      </c>
      <c r="J1" s="266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</row>
    <row r="2" spans="1:41" ht="15.95" hidden="1" customHeight="1" thickBot="1">
      <c r="A2" s="3" t="e">
        <f>#REF!*#REF!+D40*C41+B52*F52+I54*I55+I57*I58+I61*E62+D46*I46+H63*G64+G65*J65+G66*J66</f>
        <v>#REF!</v>
      </c>
      <c r="B2" s="262">
        <v>400</v>
      </c>
      <c r="C2" s="263"/>
      <c r="D2" s="263"/>
      <c r="E2" s="264"/>
      <c r="F2" s="262">
        <v>265</v>
      </c>
      <c r="G2" s="263"/>
      <c r="H2" s="264"/>
      <c r="I2" s="267"/>
      <c r="J2" s="268"/>
      <c r="K2" s="5"/>
      <c r="L2" s="5"/>
      <c r="M2" s="5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32"/>
      <c r="AB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1" ht="15.95" hidden="1" customHeight="1">
      <c r="A3" s="2"/>
      <c r="B3" s="2"/>
      <c r="C3" s="4"/>
      <c r="D3" s="4"/>
      <c r="E3" s="4"/>
      <c r="F3" s="4"/>
      <c r="G3" s="4"/>
      <c r="H3" s="4"/>
      <c r="I3" s="29"/>
      <c r="J3" s="29"/>
      <c r="K3" s="5"/>
      <c r="L3" s="5"/>
      <c r="M3" s="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143"/>
      <c r="AB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5.95" hidden="1" customHeight="1">
      <c r="A4" s="2"/>
      <c r="B4" s="2"/>
      <c r="C4" s="4"/>
      <c r="D4" s="4"/>
      <c r="E4" s="4"/>
      <c r="F4" s="4"/>
      <c r="G4" s="4"/>
      <c r="H4" s="4"/>
      <c r="I4" s="29"/>
      <c r="J4" s="29"/>
      <c r="K4" s="5"/>
      <c r="L4" s="5"/>
      <c r="M4" s="5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 ht="15.95" hidden="1" customHeight="1">
      <c r="A5" s="31" t="s">
        <v>10</v>
      </c>
      <c r="B5" s="32"/>
      <c r="C5" s="33"/>
      <c r="D5" s="33"/>
      <c r="E5" s="34"/>
      <c r="F5" s="34"/>
      <c r="G5" s="32"/>
      <c r="H5" s="33"/>
      <c r="I5" s="35">
        <v>125</v>
      </c>
      <c r="J5" s="34">
        <f>ROUNDDOWN(((B2-150)/125),0)+1</f>
        <v>3</v>
      </c>
      <c r="K5" s="5">
        <f>ROUNDDOWN(((O27-150)/125),0)+1</f>
        <v>0</v>
      </c>
      <c r="L5" s="5"/>
      <c r="M5" s="5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143"/>
      <c r="AB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ht="14.25" hidden="1" customHeight="1">
      <c r="A6" s="31" t="s">
        <v>10</v>
      </c>
      <c r="B6" s="32"/>
      <c r="C6" s="32"/>
      <c r="D6" s="33"/>
      <c r="E6" s="34"/>
      <c r="F6" s="34"/>
      <c r="G6" s="32"/>
      <c r="H6" s="33"/>
      <c r="I6" s="34">
        <v>150</v>
      </c>
      <c r="J6" s="34">
        <f>ROUNDDOWN(((B2-175)/150),0)+1</f>
        <v>2</v>
      </c>
      <c r="K6" s="5"/>
      <c r="L6" s="5"/>
      <c r="M6" s="5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ht="19.5" hidden="1" customHeight="1">
      <c r="A7" s="31" t="s">
        <v>10</v>
      </c>
      <c r="B7" s="32"/>
      <c r="C7" s="32"/>
      <c r="D7" s="33"/>
      <c r="E7" s="34"/>
      <c r="F7" s="34"/>
      <c r="G7" s="32"/>
      <c r="H7" s="33"/>
      <c r="I7" s="34">
        <v>175</v>
      </c>
      <c r="J7" s="34">
        <f>ROUNDDOWN(((B2-200)/175),0)+1</f>
        <v>2</v>
      </c>
      <c r="K7" s="302" t="s">
        <v>91</v>
      </c>
      <c r="L7" s="302"/>
      <c r="M7" s="302"/>
      <c r="N7" s="30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ht="19.5" hidden="1" customHeight="1">
      <c r="A8" s="36" t="s">
        <v>11</v>
      </c>
      <c r="B8" s="37"/>
      <c r="C8" s="37"/>
      <c r="D8" s="38"/>
      <c r="E8" s="39"/>
      <c r="F8" s="39"/>
      <c r="G8" s="37"/>
      <c r="H8">
        <f>IF(B2&gt;200,IF((B2-125*J5-25)&gt;=0,(B2-125*J5-25),1000),IF((B2-150*J5)&gt;=0,(B2-150*J5),1000))</f>
        <v>0</v>
      </c>
      <c r="I8" s="39">
        <f>IF(H8&gt;=0,H8,1000)</f>
        <v>0</v>
      </c>
      <c r="K8" s="143" t="s">
        <v>83</v>
      </c>
      <c r="L8" s="5"/>
      <c r="N8" s="146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ht="19.5" hidden="1" customHeight="1">
      <c r="A9" s="36" t="s">
        <v>11</v>
      </c>
      <c r="B9" s="37"/>
      <c r="C9" s="37"/>
      <c r="D9" s="38"/>
      <c r="E9" s="39"/>
      <c r="F9" s="39"/>
      <c r="G9" s="37"/>
      <c r="H9">
        <f>IF(B2&gt;200,IF((B2-150*J6-25)&gt;=0,(B2-150*J6-25),1000),IF((B2-175*J6)&gt;=0,(B2-175*J6),1000))</f>
        <v>75</v>
      </c>
      <c r="I9" s="39">
        <f>IF(H9&gt;=0,H9,1000)</f>
        <v>75</v>
      </c>
      <c r="K9" s="143" t="s">
        <v>84</v>
      </c>
      <c r="L9" s="5"/>
      <c r="M9" s="145" t="s">
        <v>0</v>
      </c>
      <c r="N9" s="144" t="s">
        <v>94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ht="19.5" hidden="1" customHeight="1">
      <c r="A10" s="36" t="s">
        <v>11</v>
      </c>
      <c r="B10" s="37"/>
      <c r="C10" s="37"/>
      <c r="D10" s="38"/>
      <c r="E10" s="39"/>
      <c r="F10" s="39"/>
      <c r="G10" s="37"/>
      <c r="H10">
        <f>IF(B2&gt;200,IF((B2-175*J7-25)&gt;=0,(B2-175*J7-25),1000),IF((B2-200*J7)&gt;=0,(B2-200*J7),1000))</f>
        <v>25</v>
      </c>
      <c r="I10" s="39">
        <f>IF(H10&gt;=0,H10,1000)</f>
        <v>25</v>
      </c>
      <c r="K10" s="2" t="s">
        <v>216</v>
      </c>
      <c r="L10" s="5"/>
      <c r="M10" s="145" t="s">
        <v>90</v>
      </c>
      <c r="N10" s="144" t="s">
        <v>95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ht="15" hidden="1" customHeight="1">
      <c r="A11" s="30"/>
      <c r="B11" s="2"/>
      <c r="C11" s="2"/>
      <c r="E11" s="3"/>
      <c r="F11" s="3"/>
      <c r="G11" s="2"/>
      <c r="I11" s="41">
        <f>MIN(I8:I10)</f>
        <v>0</v>
      </c>
      <c r="J11" s="4"/>
      <c r="K11" t="s">
        <v>222</v>
      </c>
      <c r="L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13.5" hidden="1" customHeight="1">
      <c r="A12" s="31" t="s">
        <v>12</v>
      </c>
      <c r="B12" s="32"/>
      <c r="C12" s="32"/>
      <c r="D12" s="33"/>
      <c r="E12" s="34"/>
      <c r="F12" s="34"/>
      <c r="G12" s="34">
        <f>IF(I11=I10,J7,IF(I11=I9,J6,IF(I11=I8,J5,0)))</f>
        <v>3</v>
      </c>
      <c r="H12" s="33"/>
      <c r="I12" s="32"/>
      <c r="J12" s="35"/>
      <c r="K12" s="5"/>
      <c r="L12" s="5"/>
      <c r="M12" s="5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19.5" hidden="1" customHeight="1">
      <c r="A13" s="36" t="s">
        <v>13</v>
      </c>
      <c r="B13" s="37"/>
      <c r="C13" s="37"/>
      <c r="D13" s="38"/>
      <c r="E13" s="39"/>
      <c r="F13" s="39"/>
      <c r="G13" s="39">
        <f>IF(I11=I10,I7,IF(I11=I9,I6,IF(I11=I8,I5,0)))</f>
        <v>125</v>
      </c>
      <c r="H13" s="38"/>
      <c r="I13" s="37"/>
      <c r="J13" s="40"/>
      <c r="K13" s="5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19.5" hidden="1" customHeight="1">
      <c r="A14" s="44"/>
      <c r="B14" s="45"/>
      <c r="C14" s="45"/>
      <c r="D14" s="46"/>
      <c r="E14" s="47"/>
      <c r="F14" s="47"/>
      <c r="G14" s="47"/>
      <c r="H14" s="46"/>
      <c r="I14" s="45"/>
      <c r="J14" s="48"/>
      <c r="K14" s="49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9.5" hidden="1" customHeight="1">
      <c r="A15" s="55" t="s">
        <v>16</v>
      </c>
      <c r="B15" s="42"/>
      <c r="C15" s="50"/>
      <c r="D15" s="50"/>
      <c r="E15" s="50"/>
      <c r="F15" s="50">
        <f>IF(B2&gt;=251,IF(B2&gt;=401,IF(B2&gt;=501,IF(B2&gt;=601,IF(B2&gt;=801,IF(B2&gt;=1001,IF(B2&gt;=1201,IF(B2&gt;=1401,10,9),8),7),6),5),4),3),2)</f>
        <v>3</v>
      </c>
      <c r="G15" s="50"/>
      <c r="H15" s="51"/>
      <c r="I15" s="52"/>
      <c r="J15" s="52"/>
      <c r="K15" s="49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ht="19.5" hidden="1" customHeight="1">
      <c r="A16" s="56" t="s">
        <v>17</v>
      </c>
      <c r="B16" s="57"/>
      <c r="C16" s="53"/>
      <c r="D16" s="53"/>
      <c r="E16" s="53"/>
      <c r="F16" s="53">
        <f>IF(F2&gt;=251,IF(F2&gt;=401,IF(F2&gt;=501,IF(F2&gt;=601,IF(F2&gt;=801,IF(F2&gt;=1001,IF(F2&gt;=1201,IF(F2&gt;=1401,10,9),8),7),6),5),4),3),2)</f>
        <v>3</v>
      </c>
      <c r="G16" s="53"/>
      <c r="H16" s="54"/>
      <c r="I16" s="52"/>
      <c r="J16" s="52"/>
      <c r="K16" s="49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ht="19.5" hidden="1" customHeight="1">
      <c r="A17" s="44"/>
      <c r="B17" s="45"/>
      <c r="C17" s="45"/>
      <c r="D17" s="46"/>
      <c r="E17" s="47"/>
      <c r="F17" s="47"/>
      <c r="G17" s="47"/>
      <c r="H17" s="46"/>
      <c r="I17" s="45"/>
      <c r="J17" s="48"/>
      <c r="K17" s="49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ht="19.5" customHeight="1">
      <c r="A18" s="44"/>
      <c r="B18" s="45"/>
      <c r="C18" s="45"/>
      <c r="D18" s="46"/>
      <c r="E18" s="47"/>
      <c r="F18" s="47"/>
      <c r="G18" s="47"/>
      <c r="H18" s="46"/>
      <c r="I18" s="47"/>
      <c r="J18" s="48"/>
      <c r="K18" s="49"/>
      <c r="L18">
        <v>11</v>
      </c>
      <c r="M18">
        <v>12</v>
      </c>
      <c r="N18">
        <v>13</v>
      </c>
      <c r="O18">
        <v>14</v>
      </c>
      <c r="P18">
        <v>15</v>
      </c>
      <c r="Q18">
        <v>16</v>
      </c>
      <c r="R18">
        <v>17</v>
      </c>
      <c r="S18">
        <v>18</v>
      </c>
      <c r="T18">
        <v>19</v>
      </c>
      <c r="U18">
        <v>20</v>
      </c>
      <c r="V18">
        <v>21</v>
      </c>
      <c r="W18">
        <v>22</v>
      </c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ht="19.5" customHeight="1">
      <c r="A19" s="44"/>
      <c r="B19" s="45"/>
      <c r="C19" s="13" t="s">
        <v>28</v>
      </c>
      <c r="D19" s="13" t="s">
        <v>29</v>
      </c>
      <c r="E19" s="13" t="s">
        <v>30</v>
      </c>
      <c r="F19" s="47" t="s">
        <v>39</v>
      </c>
      <c r="G19" s="47"/>
      <c r="H19" s="46"/>
      <c r="I19" s="45"/>
      <c r="J19" s="48"/>
      <c r="K19" s="49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ht="19.5" customHeight="1">
      <c r="A20" s="44">
        <v>125</v>
      </c>
      <c r="B20" s="45"/>
      <c r="C20" s="47">
        <v>114</v>
      </c>
      <c r="D20" s="47">
        <v>32</v>
      </c>
      <c r="E20" s="47">
        <v>155</v>
      </c>
      <c r="F20" s="47">
        <v>95</v>
      </c>
      <c r="G20" s="47"/>
      <c r="H20" s="13"/>
      <c r="I20" s="45">
        <f>ROUNDDOWN((F2-24)/100,0)+1</f>
        <v>3</v>
      </c>
      <c r="J20" s="48"/>
      <c r="K20" s="49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ht="19.5" customHeight="1">
      <c r="A21" s="44">
        <v>150</v>
      </c>
      <c r="B21" s="45"/>
      <c r="C21" s="47">
        <v>135</v>
      </c>
      <c r="D21" s="61">
        <v>38</v>
      </c>
      <c r="E21" s="47">
        <v>182</v>
      </c>
      <c r="F21" s="47">
        <v>120</v>
      </c>
      <c r="G21" s="47"/>
      <c r="I21" s="45"/>
      <c r="J21" s="48"/>
      <c r="K21" s="49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ht="19.5" customHeight="1">
      <c r="A22" s="44">
        <v>175</v>
      </c>
      <c r="B22" s="45"/>
      <c r="C22" s="47">
        <v>155</v>
      </c>
      <c r="D22" s="61">
        <v>45</v>
      </c>
      <c r="E22" s="47">
        <v>209</v>
      </c>
      <c r="F22" s="47">
        <v>145</v>
      </c>
      <c r="G22" s="47"/>
      <c r="I22" s="45"/>
      <c r="J22" s="48"/>
      <c r="K22" s="49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ht="19.5" customHeight="1">
      <c r="B23" s="2"/>
      <c r="C23" s="2"/>
      <c r="E23" s="3"/>
      <c r="F23" s="3"/>
      <c r="G23" s="2"/>
      <c r="I23" s="2"/>
      <c r="J23" s="4"/>
      <c r="K23" s="5"/>
      <c r="L23" s="5"/>
      <c r="M23" s="5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ht="15.75" customHeight="1" thickBot="1">
      <c r="B24" s="2"/>
      <c r="C24" s="2"/>
      <c r="D24" s="3"/>
      <c r="E24" s="3"/>
      <c r="F24" s="3"/>
      <c r="G24" s="2"/>
      <c r="H24" s="2"/>
      <c r="I24" s="2"/>
      <c r="J24" s="2"/>
      <c r="K24" s="5"/>
      <c r="L24" s="5"/>
      <c r="M24" s="5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1:41" ht="20.25" customHeight="1">
      <c r="A25" s="28" t="s">
        <v>65</v>
      </c>
      <c r="B25" s="8"/>
      <c r="C25" s="8"/>
      <c r="D25" s="8"/>
      <c r="E25" s="22" t="s">
        <v>2</v>
      </c>
      <c r="F25" s="8"/>
      <c r="G25" s="8"/>
      <c r="H25" s="13" t="s">
        <v>18</v>
      </c>
      <c r="I25" s="4">
        <v>1.5</v>
      </c>
      <c r="J25" s="23" t="s">
        <v>4</v>
      </c>
      <c r="K25" s="5"/>
      <c r="L25" s="301" t="s">
        <v>175</v>
      </c>
      <c r="M25" s="301"/>
      <c r="N25" s="301"/>
      <c r="O25" s="301"/>
      <c r="P25" s="301"/>
      <c r="Q25" s="301"/>
      <c r="R25" s="301"/>
      <c r="S25" s="301"/>
      <c r="T25" s="301"/>
      <c r="U25" s="301"/>
      <c r="V25" s="301"/>
      <c r="W25" s="9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</row>
    <row r="26" spans="1:41" ht="31.5" customHeight="1">
      <c r="A26" s="16"/>
      <c r="B26" s="5"/>
      <c r="C26" s="5"/>
      <c r="D26" s="5"/>
      <c r="E26" s="5"/>
      <c r="F26" s="5"/>
      <c r="G26" s="5"/>
      <c r="H26" s="13" t="s">
        <v>3</v>
      </c>
      <c r="I26" s="4">
        <f>G12</f>
        <v>3</v>
      </c>
      <c r="J26" s="23" t="s">
        <v>4</v>
      </c>
      <c r="K26" s="6"/>
      <c r="L26" s="160" t="s">
        <v>80</v>
      </c>
      <c r="M26" s="161" t="s">
        <v>92</v>
      </c>
      <c r="N26" s="160" t="s">
        <v>70</v>
      </c>
      <c r="O26" s="160" t="s">
        <v>81</v>
      </c>
      <c r="P26" s="160" t="s">
        <v>79</v>
      </c>
      <c r="Q26" s="162" t="s">
        <v>82</v>
      </c>
      <c r="R26" s="160" t="s">
        <v>86</v>
      </c>
      <c r="S26" s="163" t="s">
        <v>87</v>
      </c>
      <c r="T26" s="160" t="s">
        <v>78</v>
      </c>
      <c r="U26" s="162" t="s">
        <v>88</v>
      </c>
      <c r="V26" s="162" t="s">
        <v>89</v>
      </c>
      <c r="W26" s="164" t="s">
        <v>104</v>
      </c>
      <c r="X26" s="132"/>
      <c r="Y26" s="132"/>
      <c r="Z26" s="132"/>
      <c r="AA26" s="132"/>
      <c r="AF26" s="2"/>
      <c r="AG26" s="2"/>
      <c r="AH26" s="2"/>
      <c r="AI26" s="2"/>
      <c r="AJ26" s="2"/>
      <c r="AK26" s="2"/>
      <c r="AL26" s="2"/>
      <c r="AM26" s="2"/>
      <c r="AN26" s="2"/>
      <c r="AO26" s="2"/>
    </row>
    <row r="27" spans="1:41" ht="18">
      <c r="A27" s="16"/>
      <c r="B27" s="5"/>
      <c r="C27" s="5"/>
      <c r="D27" s="5"/>
      <c r="E27" s="5"/>
      <c r="F27" s="5"/>
      <c r="G27" s="5"/>
      <c r="H27" s="13" t="s">
        <v>14</v>
      </c>
      <c r="I27" s="4">
        <f>G13</f>
        <v>125</v>
      </c>
      <c r="J27" s="23" t="s">
        <v>4</v>
      </c>
      <c r="K27" s="6"/>
      <c r="L27" s="165"/>
      <c r="M27" s="165"/>
      <c r="N27" s="166"/>
      <c r="O27" s="167"/>
      <c r="P27" s="167"/>
      <c r="Q27" s="167"/>
      <c r="R27" s="165"/>
      <c r="S27" s="165"/>
      <c r="T27" s="165"/>
      <c r="U27" s="49"/>
      <c r="V27" s="49"/>
      <c r="W27" s="49"/>
      <c r="X27" s="143"/>
      <c r="Y27" s="143"/>
      <c r="Z27" s="143"/>
      <c r="AA27" s="143"/>
      <c r="AF27" s="2"/>
      <c r="AG27" s="2"/>
      <c r="AH27" s="2"/>
      <c r="AI27" s="2"/>
      <c r="AJ27" s="2"/>
      <c r="AK27" s="2"/>
      <c r="AL27" s="2"/>
      <c r="AM27" s="2"/>
      <c r="AN27" s="2"/>
      <c r="AO27" s="2"/>
    </row>
    <row r="28" spans="1:41" ht="18">
      <c r="A28" s="16"/>
      <c r="B28" s="5"/>
      <c r="C28" s="5"/>
      <c r="D28" s="5"/>
      <c r="E28" s="5"/>
      <c r="F28" s="5"/>
      <c r="G28" s="5"/>
      <c r="H28" s="13" t="s">
        <v>15</v>
      </c>
      <c r="I28" s="4">
        <f>(I26-1)*I27</f>
        <v>250</v>
      </c>
      <c r="J28" s="23" t="s">
        <v>4</v>
      </c>
      <c r="K28" s="6"/>
      <c r="L28" s="165"/>
      <c r="M28" s="165"/>
      <c r="N28" s="166"/>
      <c r="O28" s="167"/>
      <c r="P28" s="167"/>
      <c r="Q28" s="167"/>
      <c r="R28" s="165"/>
      <c r="S28" s="167"/>
      <c r="T28" s="167"/>
      <c r="U28" s="49"/>
      <c r="V28" s="167"/>
      <c r="W28" s="49"/>
      <c r="X28" s="143"/>
      <c r="Y28" s="143"/>
      <c r="Z28" s="143"/>
      <c r="AA28" s="143"/>
      <c r="AF28" s="2"/>
      <c r="AG28" s="2"/>
      <c r="AH28" s="2"/>
      <c r="AI28" s="2"/>
      <c r="AJ28" s="2"/>
      <c r="AK28" s="2"/>
      <c r="AL28" s="2"/>
      <c r="AM28" s="2"/>
      <c r="AN28" s="2"/>
      <c r="AO28" s="2"/>
    </row>
    <row r="29" spans="1:41" ht="18">
      <c r="A29" s="16"/>
      <c r="B29" s="5"/>
      <c r="C29" s="5"/>
      <c r="D29" s="5"/>
      <c r="E29" s="5"/>
      <c r="F29" s="5"/>
      <c r="G29" s="5"/>
      <c r="H29" s="13" t="s">
        <v>56</v>
      </c>
      <c r="I29" s="4">
        <f>B2+60</f>
        <v>460</v>
      </c>
      <c r="J29" s="23" t="s">
        <v>4</v>
      </c>
      <c r="K29" s="6"/>
      <c r="L29" s="165"/>
      <c r="M29" s="165"/>
      <c r="N29" s="166"/>
      <c r="O29" s="167"/>
      <c r="P29" s="167"/>
      <c r="Q29" s="167"/>
      <c r="R29" s="165"/>
      <c r="S29" s="167"/>
      <c r="T29" s="167"/>
      <c r="U29" s="49"/>
      <c r="V29" s="167"/>
      <c r="W29" s="49"/>
      <c r="X29" s="143"/>
      <c r="Y29" s="143"/>
      <c r="Z29" s="143"/>
      <c r="AA29" s="143"/>
      <c r="AF29" s="2"/>
      <c r="AG29" s="2"/>
      <c r="AH29" s="2"/>
      <c r="AI29" s="2"/>
      <c r="AJ29" s="2"/>
      <c r="AK29" s="2"/>
      <c r="AL29" s="2"/>
      <c r="AM29" s="2"/>
      <c r="AN29" s="2"/>
      <c r="AO29" s="2"/>
    </row>
    <row r="30" spans="1:41" ht="18">
      <c r="A30" s="16"/>
      <c r="B30" s="5"/>
      <c r="C30" s="5"/>
      <c r="D30" s="5"/>
      <c r="E30" s="5"/>
      <c r="F30" s="5"/>
      <c r="G30" s="5"/>
      <c r="H30" s="13" t="s">
        <v>62</v>
      </c>
      <c r="I30" s="4">
        <f>(B2+30)/F15-13.5</f>
        <v>129.83333333333334</v>
      </c>
      <c r="J30" s="23" t="s">
        <v>4</v>
      </c>
      <c r="K30" s="6"/>
      <c r="L30" s="165"/>
      <c r="M30" s="165"/>
      <c r="N30" s="166"/>
      <c r="O30" s="167"/>
      <c r="P30" s="167"/>
      <c r="Q30" s="167"/>
      <c r="R30" s="165"/>
      <c r="S30" s="167"/>
      <c r="T30" s="167"/>
      <c r="U30" s="49"/>
      <c r="V30" s="167"/>
      <c r="W30" s="49"/>
      <c r="X30" s="143"/>
      <c r="Y30" s="143"/>
      <c r="Z30" s="143"/>
      <c r="AA30" s="143"/>
      <c r="AB30" s="143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</row>
    <row r="31" spans="1:41" ht="18.75" thickBot="1">
      <c r="A31" s="16"/>
      <c r="B31" s="5"/>
      <c r="C31" s="5"/>
      <c r="D31" s="5"/>
      <c r="E31" s="5"/>
      <c r="F31" s="5"/>
      <c r="G31" s="5"/>
      <c r="H31" s="13" t="s">
        <v>76</v>
      </c>
      <c r="I31" s="4">
        <f>(B2+30)/F15</f>
        <v>143.33333333333334</v>
      </c>
      <c r="J31" s="23" t="s">
        <v>4</v>
      </c>
      <c r="K31" s="6"/>
      <c r="L31" s="165"/>
      <c r="M31" s="165"/>
      <c r="N31" s="166"/>
      <c r="O31" s="167"/>
      <c r="P31" s="167"/>
      <c r="Q31" s="167"/>
      <c r="R31" s="165"/>
      <c r="S31" s="167"/>
      <c r="T31" s="167"/>
      <c r="U31" s="49"/>
      <c r="V31" s="167"/>
      <c r="W31" s="49"/>
      <c r="X31" s="143"/>
      <c r="Y31" s="143"/>
      <c r="Z31" s="143"/>
      <c r="AA31" s="143"/>
      <c r="AB31" s="143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</row>
    <row r="32" spans="1:41" ht="18">
      <c r="A32" s="15"/>
      <c r="B32" s="8"/>
      <c r="C32" s="8"/>
      <c r="D32" s="8"/>
      <c r="E32" s="8"/>
      <c r="F32" s="8"/>
      <c r="G32" s="8"/>
      <c r="H32" s="28" t="s">
        <v>66</v>
      </c>
      <c r="I32" s="8"/>
      <c r="J32" s="8"/>
      <c r="K32" s="6"/>
      <c r="L32" s="165"/>
      <c r="M32" s="165"/>
      <c r="N32" s="166"/>
      <c r="O32" s="167"/>
      <c r="P32" s="167"/>
      <c r="Q32" s="167"/>
      <c r="R32" s="165"/>
      <c r="S32" s="167"/>
      <c r="T32" s="167"/>
      <c r="U32" s="49"/>
      <c r="V32" s="167"/>
      <c r="W32" s="49"/>
      <c r="X32" s="132"/>
      <c r="Y32" s="132"/>
      <c r="Z32" s="132"/>
      <c r="AA32" s="132"/>
      <c r="AB32" s="13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</row>
    <row r="33" spans="1:43" ht="27" customHeight="1">
      <c r="A33" s="16"/>
      <c r="B33" s="5"/>
      <c r="C33" s="5"/>
      <c r="D33" s="5"/>
      <c r="E33" s="5"/>
      <c r="F33" s="5"/>
      <c r="G33" s="5"/>
      <c r="H33" s="22" t="s">
        <v>19</v>
      </c>
      <c r="I33" s="22"/>
      <c r="J33" s="5"/>
      <c r="K33" s="93"/>
      <c r="L33" s="165"/>
      <c r="M33" s="165"/>
      <c r="N33" s="166"/>
      <c r="O33" s="167"/>
      <c r="P33" s="167"/>
      <c r="Q33" s="167"/>
      <c r="R33" s="165"/>
      <c r="S33" s="167"/>
      <c r="T33" s="167"/>
      <c r="U33" s="49"/>
      <c r="V33" s="167"/>
      <c r="W33" s="49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</row>
    <row r="34" spans="1:43" ht="18">
      <c r="A34" s="16"/>
      <c r="B34" s="5"/>
      <c r="C34" s="5"/>
      <c r="D34" s="5"/>
      <c r="E34" s="5"/>
      <c r="F34" s="5"/>
      <c r="G34" s="5"/>
      <c r="H34" s="13" t="s">
        <v>18</v>
      </c>
      <c r="I34" s="4">
        <v>1.5</v>
      </c>
      <c r="J34" s="24" t="s">
        <v>4</v>
      </c>
      <c r="K34" s="6"/>
      <c r="L34" s="165"/>
      <c r="M34" s="165"/>
      <c r="N34" s="166"/>
      <c r="O34" s="167"/>
      <c r="P34" s="167"/>
      <c r="Q34" s="167"/>
      <c r="R34" s="165"/>
      <c r="S34" s="167"/>
      <c r="T34" s="167"/>
      <c r="U34" s="49"/>
      <c r="V34" s="167"/>
      <c r="W34" s="49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</row>
    <row r="35" spans="1:43" ht="18">
      <c r="A35" s="16"/>
      <c r="B35" s="5"/>
      <c r="C35" s="5"/>
      <c r="D35" s="5"/>
      <c r="E35" s="5"/>
      <c r="F35" s="5"/>
      <c r="G35" s="5"/>
      <c r="H35" s="13" t="s">
        <v>61</v>
      </c>
      <c r="I35" s="4">
        <f>F2+3</f>
        <v>268</v>
      </c>
      <c r="J35" s="24" t="s">
        <v>4</v>
      </c>
      <c r="K35" s="6"/>
      <c r="L35" s="144"/>
      <c r="M35" s="144"/>
      <c r="N35" s="144"/>
      <c r="O35" s="144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</row>
    <row r="36" spans="1:43" ht="18">
      <c r="A36" s="16"/>
      <c r="B36" s="5"/>
      <c r="C36" s="5"/>
      <c r="D36" s="5"/>
      <c r="E36" s="5"/>
      <c r="F36" s="5"/>
      <c r="G36" s="5"/>
      <c r="H36" s="13" t="s">
        <v>63</v>
      </c>
      <c r="I36" s="4">
        <f>(F2+30)/I39</f>
        <v>98.333333333333329</v>
      </c>
      <c r="J36" s="23" t="s">
        <v>4</v>
      </c>
      <c r="K36" s="6"/>
      <c r="N36" s="144" t="s">
        <v>96</v>
      </c>
      <c r="P36" s="2"/>
      <c r="Q36" s="300" t="s">
        <v>154</v>
      </c>
      <c r="R36" s="300"/>
      <c r="S36" s="300"/>
      <c r="T36" s="300"/>
      <c r="U36" s="113"/>
      <c r="V36" s="113"/>
      <c r="W36" s="113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</row>
    <row r="37" spans="1:43" ht="18">
      <c r="A37" s="16"/>
      <c r="B37" s="5"/>
      <c r="C37" s="5"/>
      <c r="D37" s="5"/>
      <c r="E37" s="5"/>
      <c r="F37" s="5"/>
      <c r="G37" s="5"/>
      <c r="H37" s="13" t="s">
        <v>21</v>
      </c>
      <c r="I37" s="4">
        <f>F2-24</f>
        <v>241</v>
      </c>
      <c r="J37" s="23" t="s">
        <v>4</v>
      </c>
      <c r="K37" s="6"/>
      <c r="N37" s="144"/>
      <c r="O37" s="144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1:43" ht="18">
      <c r="A38" s="16"/>
      <c r="B38" s="5"/>
      <c r="C38" s="5"/>
      <c r="D38" s="5"/>
      <c r="E38" s="5"/>
      <c r="F38" s="5"/>
      <c r="G38" s="5"/>
      <c r="H38" s="13" t="s">
        <v>22</v>
      </c>
      <c r="I38" s="4">
        <f>I37/F16</f>
        <v>80.333333333333329</v>
      </c>
      <c r="J38" s="23" t="s">
        <v>4</v>
      </c>
      <c r="K38" s="6"/>
      <c r="N38" s="144"/>
      <c r="O38" s="144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</row>
    <row r="39" spans="1:43" ht="18">
      <c r="A39" s="16"/>
      <c r="B39" s="5"/>
      <c r="C39" s="5"/>
      <c r="D39" s="5"/>
      <c r="E39" s="5"/>
      <c r="F39" s="5"/>
      <c r="G39" s="5"/>
      <c r="H39" s="4" t="s">
        <v>23</v>
      </c>
      <c r="I39" s="4">
        <f>F16</f>
        <v>3</v>
      </c>
      <c r="J39" s="23"/>
      <c r="K39" s="6"/>
      <c r="L39" s="114" t="s">
        <v>153</v>
      </c>
      <c r="M39" s="5"/>
      <c r="N39" s="5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1:43" ht="18">
      <c r="A40" s="16"/>
      <c r="B40" s="20" t="s">
        <v>6</v>
      </c>
      <c r="C40" s="5"/>
      <c r="D40" s="4">
        <f>2</f>
        <v>2</v>
      </c>
      <c r="E40" s="5"/>
      <c r="F40" s="5"/>
      <c r="G40" s="6"/>
      <c r="H40" s="13" t="s">
        <v>24</v>
      </c>
      <c r="I40" s="4">
        <v>60</v>
      </c>
      <c r="J40" s="23" t="s">
        <v>4</v>
      </c>
      <c r="K40" s="6"/>
      <c r="L40" s="5" t="s">
        <v>71</v>
      </c>
      <c r="M40" s="113"/>
      <c r="N40" s="5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</row>
    <row r="41" spans="1:43" ht="18.75" thickBot="1">
      <c r="A41" s="18"/>
      <c r="B41" s="60" t="s">
        <v>7</v>
      </c>
      <c r="C41" s="9">
        <f>ROUNDUP(307*I34*I35*0.00785/1000,3)</f>
        <v>0.96899999999999997</v>
      </c>
      <c r="D41" s="9" t="s">
        <v>8</v>
      </c>
      <c r="E41" s="10"/>
      <c r="F41" s="10"/>
      <c r="G41" s="10"/>
      <c r="H41" s="60" t="s">
        <v>25</v>
      </c>
      <c r="I41" s="9">
        <v>35</v>
      </c>
      <c r="J41" s="27" t="s">
        <v>4</v>
      </c>
      <c r="K41" s="6"/>
      <c r="L41" s="5" t="s">
        <v>72</v>
      </c>
      <c r="M41" s="134">
        <v>10.707000000000004</v>
      </c>
      <c r="N41" s="5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</row>
    <row r="42" spans="1:43" ht="18">
      <c r="A42" s="63" t="s">
        <v>58</v>
      </c>
      <c r="B42" s="8"/>
      <c r="C42" s="8"/>
      <c r="D42" s="21" t="s">
        <v>52</v>
      </c>
      <c r="E42" s="7">
        <f>I35</f>
        <v>268</v>
      </c>
      <c r="F42" s="28" t="s">
        <v>4</v>
      </c>
      <c r="G42" s="21" t="s">
        <v>56</v>
      </c>
      <c r="H42" s="7">
        <f>B2+60</f>
        <v>460</v>
      </c>
      <c r="I42" s="28" t="s">
        <v>4</v>
      </c>
      <c r="J42" s="87"/>
      <c r="K42" s="6"/>
      <c r="L42" s="5"/>
      <c r="M42" s="5"/>
      <c r="N42" s="5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1:43" ht="18">
      <c r="A43" s="65" t="s">
        <v>40</v>
      </c>
      <c r="B43" s="6"/>
      <c r="C43" s="5"/>
      <c r="D43" s="13" t="s">
        <v>53</v>
      </c>
      <c r="E43" s="4">
        <f>F2+30</f>
        <v>295</v>
      </c>
      <c r="F43" s="24" t="s">
        <v>4</v>
      </c>
      <c r="G43" s="13" t="s">
        <v>57</v>
      </c>
      <c r="H43" s="4">
        <f>B2+30</f>
        <v>430</v>
      </c>
      <c r="I43" s="24" t="s">
        <v>4</v>
      </c>
      <c r="J43" s="14"/>
      <c r="K43" s="6"/>
      <c r="L43" s="5"/>
      <c r="M43" s="5"/>
      <c r="N43" s="5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</row>
    <row r="44" spans="1:43" ht="18">
      <c r="A44" s="67" t="s">
        <v>18</v>
      </c>
      <c r="B44" s="4">
        <v>1.5</v>
      </c>
      <c r="C44" s="5"/>
      <c r="D44" s="13" t="s">
        <v>63</v>
      </c>
      <c r="E44" s="4">
        <f>I36</f>
        <v>98.333333333333329</v>
      </c>
      <c r="F44" s="24"/>
      <c r="G44" s="13" t="s">
        <v>64</v>
      </c>
      <c r="H44" s="4">
        <f>H43/H45</f>
        <v>143.33333333333334</v>
      </c>
      <c r="I44" s="24" t="s">
        <v>4</v>
      </c>
      <c r="J44" s="14"/>
      <c r="K44" s="6"/>
      <c r="L44" s="5"/>
      <c r="M44" s="5"/>
      <c r="N44" s="5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1:43" ht="18">
      <c r="A45" s="65"/>
      <c r="B45" s="6"/>
      <c r="C45" s="5"/>
      <c r="D45" s="4" t="s">
        <v>23</v>
      </c>
      <c r="E45" s="4">
        <f>I39</f>
        <v>3</v>
      </c>
      <c r="F45" s="24"/>
      <c r="G45" s="4" t="s">
        <v>20</v>
      </c>
      <c r="H45" s="4">
        <f>F15</f>
        <v>3</v>
      </c>
      <c r="I45" s="4"/>
      <c r="J45" s="14"/>
      <c r="K45" s="6"/>
      <c r="L45" s="5"/>
      <c r="M45" s="5"/>
      <c r="N45" s="5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</row>
    <row r="46" spans="1:43" ht="18.75" thickBot="1">
      <c r="A46" s="18"/>
      <c r="B46" s="10"/>
      <c r="C46" s="60" t="s">
        <v>7</v>
      </c>
      <c r="D46" s="9">
        <f>ROUNDUP(E42*H42*B44*0.00785/1000,3)</f>
        <v>1.452</v>
      </c>
      <c r="E46" s="9" t="s">
        <v>8</v>
      </c>
      <c r="F46" s="10"/>
      <c r="G46" s="269" t="s">
        <v>6</v>
      </c>
      <c r="H46" s="269"/>
      <c r="I46" s="9">
        <v>1</v>
      </c>
      <c r="J46" s="58"/>
      <c r="K46" s="6"/>
      <c r="L46" s="5"/>
      <c r="M46" s="5"/>
      <c r="N46" s="5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</row>
    <row r="47" spans="1:43" ht="18">
      <c r="A47" s="15"/>
      <c r="B47" s="8"/>
      <c r="C47" s="8"/>
      <c r="D47" s="8"/>
      <c r="E47" s="8"/>
      <c r="G47" s="28" t="s">
        <v>54</v>
      </c>
      <c r="I47" s="8"/>
      <c r="J47" s="11"/>
      <c r="K47" s="6"/>
      <c r="L47" s="5"/>
      <c r="M47" s="5"/>
      <c r="N47" s="5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18">
      <c r="A48" s="16"/>
      <c r="B48" s="5"/>
      <c r="C48" s="5"/>
      <c r="D48" s="5"/>
      <c r="E48" s="13" t="s">
        <v>14</v>
      </c>
      <c r="F48" s="4">
        <f>G13</f>
        <v>125</v>
      </c>
      <c r="G48" s="24" t="s">
        <v>4</v>
      </c>
      <c r="H48" s="6"/>
      <c r="I48" s="22" t="s">
        <v>26</v>
      </c>
      <c r="J48" s="12"/>
      <c r="K48" s="6"/>
      <c r="L48" s="5"/>
      <c r="M48" s="5"/>
      <c r="N48" s="5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</row>
    <row r="49" spans="1:43" ht="18">
      <c r="A49" s="16"/>
      <c r="B49" s="5"/>
      <c r="C49" s="5"/>
      <c r="D49" s="5"/>
      <c r="E49" s="13" t="s">
        <v>28</v>
      </c>
      <c r="F49" s="4">
        <f>IF(F48=A20,C20,IF(F48=A21,C21,IF(F48=A22,C22,1000000)))</f>
        <v>114</v>
      </c>
      <c r="G49" s="24" t="s">
        <v>4</v>
      </c>
      <c r="H49" s="13" t="s">
        <v>18</v>
      </c>
      <c r="I49" s="4">
        <v>1</v>
      </c>
      <c r="J49" s="23" t="s">
        <v>4</v>
      </c>
      <c r="K49" s="6"/>
      <c r="L49" s="5"/>
      <c r="M49" s="5"/>
      <c r="N49" s="5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</row>
    <row r="50" spans="1:43" ht="18">
      <c r="A50" s="16"/>
      <c r="B50" s="5"/>
      <c r="C50" s="5"/>
      <c r="D50" s="5"/>
      <c r="E50" s="13" t="s">
        <v>29</v>
      </c>
      <c r="F50" s="4">
        <f>IF(F48=A20,D20,IF(F48=A21,D21,IF(F48=A22,D22,1000000)))</f>
        <v>32</v>
      </c>
      <c r="G50" s="24" t="s">
        <v>4</v>
      </c>
      <c r="H50" s="13" t="s">
        <v>27</v>
      </c>
      <c r="I50" s="4">
        <f>F2-6</f>
        <v>259</v>
      </c>
      <c r="J50" s="23" t="s">
        <v>4</v>
      </c>
      <c r="K50" s="6"/>
      <c r="L50" s="5"/>
      <c r="M50" s="5"/>
      <c r="N50" s="5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</row>
    <row r="51" spans="1:43" ht="18">
      <c r="A51" s="16"/>
      <c r="B51" s="5"/>
      <c r="C51" s="5"/>
      <c r="D51" s="5"/>
      <c r="E51" s="13" t="s">
        <v>30</v>
      </c>
      <c r="F51" s="4">
        <f>IF(F48=A20,E20,IF(F48=A21,E21,IF(F48=A22,E22,1000000)))</f>
        <v>155</v>
      </c>
      <c r="G51" s="24" t="s">
        <v>4</v>
      </c>
      <c r="H51" s="13" t="s">
        <v>21</v>
      </c>
      <c r="I51" s="4">
        <f>I37</f>
        <v>241</v>
      </c>
      <c r="J51" s="23" t="s">
        <v>4</v>
      </c>
      <c r="K51" s="6"/>
      <c r="L51" s="5"/>
      <c r="M51" s="5"/>
      <c r="N51" s="5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</row>
    <row r="52" spans="1:43" ht="18.75" thickBot="1">
      <c r="A52" s="67" t="s">
        <v>7</v>
      </c>
      <c r="B52" s="4">
        <f>ROUNDUP(F51*I50*I49*0.00785/1000,3)</f>
        <v>0.316</v>
      </c>
      <c r="C52" s="4" t="s">
        <v>8</v>
      </c>
      <c r="D52" s="5"/>
      <c r="E52" s="13" t="s">
        <v>3</v>
      </c>
      <c r="F52" s="4">
        <f>G12</f>
        <v>3</v>
      </c>
      <c r="G52" s="5"/>
      <c r="H52" s="13"/>
      <c r="I52" s="4"/>
      <c r="J52" s="23"/>
      <c r="K52" s="6"/>
      <c r="L52" s="5"/>
      <c r="M52" s="5"/>
      <c r="N52" s="5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</row>
    <row r="53" spans="1:43" ht="18">
      <c r="A53" s="63" t="s">
        <v>31</v>
      </c>
      <c r="B53" s="8"/>
      <c r="C53" s="8"/>
      <c r="D53" s="21" t="s">
        <v>59</v>
      </c>
      <c r="E53" s="7">
        <f>F2-3</f>
        <v>262</v>
      </c>
      <c r="F53" s="28" t="s">
        <v>4</v>
      </c>
      <c r="G53" s="28" t="s">
        <v>33</v>
      </c>
      <c r="H53" s="8"/>
      <c r="I53" s="7">
        <v>20</v>
      </c>
      <c r="J53" s="64" t="s">
        <v>4</v>
      </c>
      <c r="K53" s="6"/>
      <c r="L53" s="5"/>
      <c r="M53" s="5"/>
      <c r="N53" s="5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</row>
    <row r="54" spans="1:43" ht="18">
      <c r="A54" s="65" t="s">
        <v>32</v>
      </c>
      <c r="B54" s="6"/>
      <c r="C54" s="5"/>
      <c r="D54" s="13"/>
      <c r="E54" s="4"/>
      <c r="F54" s="24"/>
      <c r="G54" s="234" t="s">
        <v>6</v>
      </c>
      <c r="H54" s="234"/>
      <c r="I54" s="4">
        <f>I26+1</f>
        <v>4</v>
      </c>
      <c r="J54" s="12"/>
      <c r="K54" s="6"/>
      <c r="L54" s="5"/>
      <c r="M54" s="5"/>
      <c r="N54" s="5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</row>
    <row r="55" spans="1:43" ht="18.75" thickBot="1">
      <c r="A55" s="62" t="s">
        <v>18</v>
      </c>
      <c r="B55" s="9">
        <v>1</v>
      </c>
      <c r="C55" s="25"/>
      <c r="D55" s="60"/>
      <c r="E55" s="9"/>
      <c r="F55" s="25"/>
      <c r="G55" s="10"/>
      <c r="H55" s="60" t="s">
        <v>7</v>
      </c>
      <c r="I55" s="9">
        <f>ROUNDUP(B55*E53*I53*0.0085/1000,3)</f>
        <v>4.4999999999999998E-2</v>
      </c>
      <c r="J55" s="66" t="s">
        <v>8</v>
      </c>
      <c r="K55" s="6"/>
      <c r="L55" s="5"/>
      <c r="M55" s="5"/>
      <c r="N55" s="5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</row>
    <row r="56" spans="1:43" ht="18">
      <c r="A56" s="88" t="s">
        <v>34</v>
      </c>
      <c r="B56" s="5"/>
      <c r="C56" s="5"/>
      <c r="D56" s="13" t="s">
        <v>60</v>
      </c>
      <c r="E56" s="4">
        <f>F2-0.6</f>
        <v>264.39999999999998</v>
      </c>
      <c r="F56" s="24" t="s">
        <v>4</v>
      </c>
      <c r="G56" s="24" t="s">
        <v>33</v>
      </c>
      <c r="H56" s="5"/>
      <c r="I56" s="4">
        <v>35.299999999999997</v>
      </c>
      <c r="J56" s="23" t="s">
        <v>4</v>
      </c>
      <c r="K56" s="6"/>
      <c r="L56" s="5"/>
      <c r="M56" s="5"/>
      <c r="N56" s="5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</row>
    <row r="57" spans="1:43" ht="18">
      <c r="A57" s="65" t="s">
        <v>36</v>
      </c>
      <c r="B57" s="6"/>
      <c r="C57" s="5"/>
      <c r="D57" s="13" t="s">
        <v>21</v>
      </c>
      <c r="E57" s="4">
        <f>I37</f>
        <v>241</v>
      </c>
      <c r="F57" s="24" t="s">
        <v>4</v>
      </c>
      <c r="G57" s="234" t="s">
        <v>6</v>
      </c>
      <c r="H57" s="234"/>
      <c r="I57" s="4">
        <v>1</v>
      </c>
      <c r="J57" s="12"/>
      <c r="K57" s="6"/>
      <c r="L57" s="5"/>
      <c r="M57" s="5"/>
      <c r="N57" s="5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</row>
    <row r="58" spans="1:43" ht="18.75" thickBot="1">
      <c r="A58" s="62" t="s">
        <v>18</v>
      </c>
      <c r="B58" s="9">
        <v>1</v>
      </c>
      <c r="C58" s="10"/>
      <c r="D58" s="60" t="s">
        <v>22</v>
      </c>
      <c r="E58" s="9">
        <f>I38</f>
        <v>80.333333333333329</v>
      </c>
      <c r="F58" s="25" t="s">
        <v>4</v>
      </c>
      <c r="G58" s="10"/>
      <c r="H58" s="60" t="s">
        <v>7</v>
      </c>
      <c r="I58" s="9">
        <f>ROUNDUP(B58*E56*I56*0.00785/1000,3)</f>
        <v>7.3999999999999996E-2</v>
      </c>
      <c r="J58" s="66" t="s">
        <v>8</v>
      </c>
      <c r="K58" s="6"/>
      <c r="L58" s="5"/>
      <c r="M58" s="5"/>
      <c r="N58" s="5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</row>
    <row r="59" spans="1:43" ht="18">
      <c r="A59" s="63" t="s">
        <v>37</v>
      </c>
      <c r="B59" s="8"/>
      <c r="C59" s="8"/>
      <c r="D59" s="21" t="s">
        <v>60</v>
      </c>
      <c r="E59" s="7">
        <f>F2-0.6</f>
        <v>264.39999999999998</v>
      </c>
      <c r="F59" s="28" t="s">
        <v>4</v>
      </c>
      <c r="G59" s="26"/>
      <c r="H59" s="7" t="s">
        <v>5</v>
      </c>
      <c r="I59" s="7">
        <f>B2-(G12-1)*G13-40-IF(G13=A20,F20,IF(G13=A21,F21,IF(G13=A22,F22,1000000)))</f>
        <v>15</v>
      </c>
      <c r="J59" s="64" t="s">
        <v>4</v>
      </c>
      <c r="K59" s="6"/>
      <c r="L59" s="5"/>
      <c r="M59" s="5"/>
      <c r="N59" s="5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</row>
    <row r="60" spans="1:43" ht="18">
      <c r="A60" s="65" t="s">
        <v>35</v>
      </c>
      <c r="B60" s="6"/>
      <c r="C60" s="5"/>
      <c r="D60" s="13" t="s">
        <v>21</v>
      </c>
      <c r="E60" s="4">
        <f>E57</f>
        <v>241</v>
      </c>
      <c r="F60" s="24" t="s">
        <v>4</v>
      </c>
      <c r="G60" s="24"/>
      <c r="H60" s="4" t="s">
        <v>38</v>
      </c>
      <c r="I60" s="4">
        <f>I59+18</f>
        <v>33</v>
      </c>
      <c r="J60" s="23" t="s">
        <v>4</v>
      </c>
      <c r="K60" s="6"/>
      <c r="N60" s="5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</row>
    <row r="61" spans="1:43" ht="18">
      <c r="A61" s="67" t="s">
        <v>18</v>
      </c>
      <c r="B61" s="4">
        <v>1</v>
      </c>
      <c r="C61" s="5"/>
      <c r="D61" s="13" t="s">
        <v>22</v>
      </c>
      <c r="E61" s="4">
        <f>E58</f>
        <v>80.333333333333329</v>
      </c>
      <c r="F61" s="24" t="s">
        <v>4</v>
      </c>
      <c r="G61" s="234" t="s">
        <v>6</v>
      </c>
      <c r="H61" s="234"/>
      <c r="I61" s="4">
        <v>1</v>
      </c>
      <c r="J61" s="12"/>
      <c r="K61" s="6"/>
      <c r="L61" s="5"/>
      <c r="M61" s="5"/>
      <c r="N61" s="5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</row>
    <row r="62" spans="1:43" ht="18.75" thickBot="1">
      <c r="A62" s="68"/>
      <c r="B62" s="19"/>
      <c r="C62" s="10"/>
      <c r="D62" s="60" t="s">
        <v>7</v>
      </c>
      <c r="E62" s="9">
        <f>ROUNDUP(B61*E59*I60*0.00785/1000,3)</f>
        <v>6.9000000000000006E-2</v>
      </c>
      <c r="F62" s="9" t="s">
        <v>8</v>
      </c>
      <c r="G62" s="10"/>
      <c r="H62" s="19"/>
      <c r="I62" s="19"/>
      <c r="J62" s="86"/>
      <c r="K62" s="6"/>
      <c r="L62" s="5"/>
      <c r="M62" s="5"/>
      <c r="N62" s="5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</row>
    <row r="63" spans="1:43" ht="18">
      <c r="A63" s="24" t="s">
        <v>41</v>
      </c>
      <c r="B63" s="6"/>
      <c r="C63" s="22"/>
      <c r="D63" s="6"/>
      <c r="E63" s="4" t="s">
        <v>43</v>
      </c>
      <c r="F63" s="6"/>
      <c r="G63" s="13" t="s">
        <v>7</v>
      </c>
      <c r="H63" s="4">
        <v>0.01</v>
      </c>
      <c r="I63" s="4" t="s">
        <v>8</v>
      </c>
      <c r="J63" s="14"/>
      <c r="K63" s="6"/>
      <c r="L63" s="5"/>
      <c r="M63" s="5"/>
      <c r="N63" s="5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</row>
    <row r="64" spans="1:43" ht="18.75" thickBot="1">
      <c r="A64" s="65" t="s">
        <v>42</v>
      </c>
      <c r="B64" s="5"/>
      <c r="C64" s="4"/>
      <c r="D64" s="261" t="s">
        <v>6</v>
      </c>
      <c r="E64" s="261"/>
      <c r="F64" s="261"/>
      <c r="G64" s="4">
        <f>G12*4</f>
        <v>12</v>
      </c>
      <c r="H64" s="4"/>
      <c r="I64" s="4"/>
      <c r="J64" s="14"/>
      <c r="K64" s="6"/>
      <c r="L64" s="5"/>
      <c r="M64" s="5"/>
      <c r="N64" s="5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</row>
    <row r="65" spans="1:23" ht="16.5" thickBot="1">
      <c r="A65" s="71" t="s">
        <v>51</v>
      </c>
      <c r="B65" s="69"/>
      <c r="C65" s="69"/>
      <c r="D65" s="69"/>
      <c r="E65" s="69"/>
      <c r="F65" s="72" t="s">
        <v>9</v>
      </c>
      <c r="G65" s="72">
        <v>0.03</v>
      </c>
      <c r="H65" s="70" t="s">
        <v>44</v>
      </c>
      <c r="I65" s="69"/>
      <c r="J65" s="73">
        <f>2*G12</f>
        <v>6</v>
      </c>
      <c r="L65" s="5"/>
      <c r="M65" s="5"/>
      <c r="N65" s="5"/>
      <c r="O65" s="2"/>
      <c r="P65" s="2"/>
      <c r="Q65" s="2"/>
      <c r="R65" s="2"/>
      <c r="S65" s="2"/>
      <c r="T65" s="2"/>
      <c r="U65" s="2"/>
      <c r="V65" s="2"/>
      <c r="W65" s="2"/>
    </row>
    <row r="66" spans="1:23" ht="16.5" thickBot="1">
      <c r="A66" s="74" t="s">
        <v>45</v>
      </c>
      <c r="B66" s="75"/>
      <c r="C66" s="75"/>
      <c r="D66" s="75"/>
      <c r="E66" s="75"/>
      <c r="F66" s="76" t="s">
        <v>9</v>
      </c>
      <c r="G66" s="72">
        <v>0.14000000000000001</v>
      </c>
      <c r="H66" s="70" t="s">
        <v>44</v>
      </c>
      <c r="I66" s="77"/>
      <c r="J66" s="78">
        <f>J65</f>
        <v>6</v>
      </c>
      <c r="L66" s="5"/>
      <c r="M66" s="5"/>
      <c r="N66" s="5"/>
      <c r="O66" s="2"/>
      <c r="P66" s="2"/>
      <c r="Q66" s="2"/>
      <c r="R66" s="2"/>
      <c r="S66" s="2"/>
      <c r="T66" s="2"/>
      <c r="U66" s="2"/>
      <c r="V66" s="2"/>
      <c r="W66" s="2"/>
    </row>
    <row r="67" spans="1:23" ht="16.5" thickBot="1">
      <c r="A67" s="79" t="s">
        <v>46</v>
      </c>
      <c r="B67" s="80"/>
      <c r="C67" s="80"/>
      <c r="D67" s="80"/>
      <c r="E67" s="75"/>
      <c r="F67" s="80"/>
      <c r="G67" s="81"/>
      <c r="H67" s="70" t="s">
        <v>44</v>
      </c>
      <c r="I67" s="81"/>
      <c r="J67" s="82">
        <f>4*G12</f>
        <v>12</v>
      </c>
      <c r="L67" s="5"/>
      <c r="M67" s="5"/>
      <c r="N67" s="5"/>
      <c r="O67" s="2"/>
      <c r="P67" s="2"/>
      <c r="Q67" s="2"/>
      <c r="R67" s="2"/>
      <c r="S67" s="2"/>
      <c r="T67" s="2"/>
      <c r="U67" s="2"/>
      <c r="V67" s="2"/>
      <c r="W67" s="2"/>
    </row>
    <row r="68" spans="1:23" ht="16.5" thickBot="1">
      <c r="A68" s="79" t="s">
        <v>47</v>
      </c>
      <c r="B68" s="83"/>
      <c r="C68" s="83"/>
      <c r="D68" s="83"/>
      <c r="E68" s="75"/>
      <c r="F68" s="80"/>
      <c r="G68" s="81"/>
      <c r="H68" s="70" t="s">
        <v>44</v>
      </c>
      <c r="I68" s="81"/>
      <c r="J68" s="82">
        <f>J67</f>
        <v>12</v>
      </c>
    </row>
    <row r="69" spans="1:23" ht="16.5" thickBot="1">
      <c r="A69" s="79" t="s">
        <v>48</v>
      </c>
      <c r="B69" s="75"/>
      <c r="C69" s="75"/>
      <c r="D69" s="75"/>
      <c r="E69" s="75"/>
      <c r="F69" s="80"/>
      <c r="G69" s="81"/>
      <c r="H69" s="70" t="s">
        <v>44</v>
      </c>
      <c r="I69" s="81"/>
      <c r="J69" s="82">
        <f>J67</f>
        <v>12</v>
      </c>
    </row>
    <row r="70" spans="1:23" ht="16.5" thickBot="1">
      <c r="A70" s="79" t="s">
        <v>49</v>
      </c>
      <c r="B70" s="84"/>
      <c r="C70" s="84"/>
      <c r="D70" s="84"/>
      <c r="E70" s="84"/>
      <c r="F70" s="84"/>
      <c r="G70" s="84"/>
      <c r="H70" s="70" t="s">
        <v>44</v>
      </c>
      <c r="I70" s="84"/>
      <c r="J70" s="85">
        <f>IF(G12&lt;=2,4*G12,2*(4*G12-4))+2*(F16+1)</f>
        <v>24</v>
      </c>
    </row>
    <row r="71" spans="1:23" ht="16.5" thickBot="1">
      <c r="A71" s="79" t="s">
        <v>55</v>
      </c>
      <c r="B71" s="84"/>
      <c r="C71" s="84"/>
      <c r="D71" s="84"/>
      <c r="E71" s="84"/>
      <c r="F71" s="84"/>
      <c r="G71" s="84"/>
      <c r="H71" s="70" t="s">
        <v>44</v>
      </c>
      <c r="I71" s="84"/>
      <c r="J71" s="85">
        <f>(G12+1)*(I20+1)</f>
        <v>16</v>
      </c>
    </row>
  </sheetData>
  <dataConsolidate>
    <dataRefs count="1">
      <dataRef ref="AB27:AB28" sheet="Исходные данные"/>
    </dataRefs>
  </dataConsolidate>
  <mergeCells count="13">
    <mergeCell ref="G54:H54"/>
    <mergeCell ref="G46:H46"/>
    <mergeCell ref="D64:F64"/>
    <mergeCell ref="G57:H57"/>
    <mergeCell ref="G61:H61"/>
    <mergeCell ref="Q36:T36"/>
    <mergeCell ref="B2:E2"/>
    <mergeCell ref="B1:E1"/>
    <mergeCell ref="I1:J2"/>
    <mergeCell ref="F1:H1"/>
    <mergeCell ref="F2:H2"/>
    <mergeCell ref="L25:V25"/>
    <mergeCell ref="K7:N7"/>
  </mergeCells>
  <phoneticPr fontId="2" type="noConversion"/>
  <dataValidations count="2">
    <dataValidation type="list" allowBlank="1" showInputMessage="1" showErrorMessage="1" sqref="M9 S27:S34">
      <formula1>$M$9:$M$10</formula1>
    </dataValidation>
    <dataValidation type="list" allowBlank="1" showInputMessage="1" showErrorMessage="1" sqref="N27:N34">
      <formula1>$K$8:$K$11</formula1>
    </dataValidation>
  </dataValidations>
  <printOptions horizontalCentered="1" verticalCentered="1"/>
  <pageMargins left="0.59055118110236227" right="0.19685039370078741" top="0.19685039370078741" bottom="0.19685039370078741" header="0.51181102362204722" footer="0.51181102362204722"/>
  <pageSetup paperSize="9" scale="87" fitToHeight="0" orientation="portrait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8">
    <pageSetUpPr fitToPage="1"/>
  </sheetPr>
  <dimension ref="A1:M35"/>
  <sheetViews>
    <sheetView workbookViewId="0">
      <selection activeCell="D35" sqref="D35"/>
    </sheetView>
  </sheetViews>
  <sheetFormatPr defaultRowHeight="12.75"/>
  <cols>
    <col min="1" max="1" width="10" style="2" bestFit="1" customWidth="1"/>
    <col min="2" max="2" width="12.28515625" style="2" customWidth="1"/>
    <col min="3" max="3" width="20.85546875" customWidth="1"/>
    <col min="4" max="4" width="19.85546875" customWidth="1"/>
    <col min="5" max="5" width="1.42578125" style="123" customWidth="1"/>
    <col min="6" max="6" width="5.28515625" customWidth="1"/>
    <col min="7" max="7" width="7" customWidth="1"/>
    <col min="8" max="8" width="4.7109375" customWidth="1"/>
    <col min="9" max="9" width="1.42578125" customWidth="1"/>
    <col min="10" max="10" width="5.140625" customWidth="1"/>
    <col min="11" max="11" width="1.42578125" customWidth="1"/>
    <col min="12" max="12" width="6" customWidth="1"/>
  </cols>
  <sheetData>
    <row r="1" spans="1:13">
      <c r="A1" s="139"/>
      <c r="B1" s="305" t="s">
        <v>172</v>
      </c>
      <c r="C1" s="305"/>
      <c r="D1" s="305"/>
      <c r="E1" s="305"/>
      <c r="F1" s="305"/>
      <c r="G1" s="305"/>
      <c r="H1" s="305"/>
      <c r="I1" s="305"/>
      <c r="J1" s="307">
        <f>'Исходные данные'!$W$25</f>
        <v>0</v>
      </c>
      <c r="K1" s="307"/>
      <c r="L1" s="116"/>
    </row>
    <row r="2" spans="1:13" ht="15.75" customHeight="1">
      <c r="A2" s="140"/>
      <c r="B2" s="306"/>
      <c r="C2" s="306"/>
      <c r="D2" s="306"/>
      <c r="E2" s="306"/>
      <c r="F2" s="306"/>
      <c r="G2" s="306"/>
      <c r="H2" s="306"/>
      <c r="I2" s="306"/>
      <c r="J2" s="308"/>
      <c r="K2" s="308"/>
      <c r="L2" s="117"/>
    </row>
    <row r="3" spans="1:13">
      <c r="A3" s="140"/>
      <c r="B3" s="5"/>
      <c r="C3" s="6"/>
      <c r="D3" s="6"/>
      <c r="E3" s="127"/>
      <c r="F3" s="6"/>
      <c r="G3" s="6"/>
      <c r="H3" s="6"/>
      <c r="I3" s="6"/>
      <c r="J3" s="6"/>
      <c r="K3" s="6"/>
      <c r="L3" s="117"/>
    </row>
    <row r="4" spans="1:13" ht="38.25" customHeight="1">
      <c r="A4" s="140"/>
      <c r="B4" s="5"/>
      <c r="C4" s="6"/>
      <c r="D4" s="6"/>
      <c r="E4" s="127"/>
      <c r="F4" s="6"/>
      <c r="G4" s="6"/>
      <c r="H4" s="6"/>
      <c r="I4" s="6"/>
      <c r="J4" s="6"/>
      <c r="K4" s="6"/>
      <c r="L4" s="117"/>
    </row>
    <row r="5" spans="1:13">
      <c r="A5" s="141" t="s">
        <v>80</v>
      </c>
      <c r="B5" s="199" t="s">
        <v>92</v>
      </c>
      <c r="C5" s="124" t="s">
        <v>156</v>
      </c>
      <c r="D5" s="222" t="s">
        <v>157</v>
      </c>
      <c r="E5" s="309"/>
      <c r="F5" s="223"/>
      <c r="G5" s="124" t="s">
        <v>125</v>
      </c>
      <c r="H5" s="229" t="s">
        <v>158</v>
      </c>
      <c r="I5" s="229"/>
      <c r="J5" s="229"/>
      <c r="K5" s="229"/>
      <c r="L5" s="229"/>
    </row>
    <row r="6" spans="1:13">
      <c r="A6" s="140"/>
      <c r="B6" s="5"/>
      <c r="C6" s="6"/>
      <c r="D6" s="6"/>
      <c r="E6" s="127"/>
      <c r="F6" s="6"/>
      <c r="G6" s="6"/>
      <c r="H6" s="6"/>
      <c r="I6" s="6"/>
      <c r="J6" s="6"/>
      <c r="K6" s="6"/>
      <c r="L6" s="117"/>
      <c r="M6" s="6"/>
    </row>
    <row r="7" spans="1:13">
      <c r="A7" s="140"/>
      <c r="B7" s="303" t="s">
        <v>176</v>
      </c>
      <c r="C7" s="303"/>
      <c r="D7" s="119"/>
      <c r="E7" s="100"/>
      <c r="F7" s="303" t="s">
        <v>178</v>
      </c>
      <c r="G7" s="303"/>
      <c r="H7" s="303"/>
      <c r="I7" s="100"/>
      <c r="J7" s="90"/>
      <c r="K7" s="90"/>
      <c r="L7" s="130"/>
      <c r="M7" s="6"/>
    </row>
    <row r="8" spans="1:13">
      <c r="A8" s="140"/>
      <c r="B8" s="5"/>
      <c r="C8" s="6"/>
      <c r="D8" s="303"/>
      <c r="E8" s="303"/>
      <c r="F8" s="6"/>
      <c r="G8" s="6"/>
      <c r="H8" s="6"/>
      <c r="I8" s="6"/>
      <c r="J8" s="6"/>
      <c r="K8" s="6"/>
      <c r="L8" s="117"/>
      <c r="M8" s="6"/>
    </row>
    <row r="9" spans="1:13">
      <c r="A9" s="140"/>
      <c r="B9" s="303" t="s">
        <v>177</v>
      </c>
      <c r="C9" s="303"/>
      <c r="D9" s="119"/>
      <c r="E9" s="100"/>
      <c r="F9" s="303"/>
      <c r="G9" s="303"/>
      <c r="H9" s="303"/>
      <c r="I9" s="6"/>
      <c r="J9" s="6"/>
      <c r="K9" s="6"/>
      <c r="L9" s="117"/>
      <c r="M9" s="6"/>
    </row>
    <row r="10" spans="1:13">
      <c r="A10" s="140"/>
      <c r="B10" s="5"/>
      <c r="C10" s="6"/>
      <c r="D10" s="303"/>
      <c r="E10" s="303"/>
      <c r="F10" s="6"/>
      <c r="G10" s="6"/>
      <c r="H10" s="6"/>
      <c r="I10" s="6"/>
      <c r="J10" s="6"/>
      <c r="K10" s="6"/>
      <c r="L10" s="117"/>
      <c r="M10" s="6"/>
    </row>
    <row r="11" spans="1:13">
      <c r="A11" s="140"/>
      <c r="B11" s="5"/>
      <c r="C11" s="6"/>
      <c r="D11" s="303" t="s">
        <v>179</v>
      </c>
      <c r="E11" s="303"/>
      <c r="F11" s="303"/>
      <c r="G11" s="90"/>
      <c r="H11" s="90"/>
      <c r="I11" s="90"/>
      <c r="J11" s="6"/>
      <c r="K11" s="6"/>
      <c r="L11" s="117"/>
      <c r="M11" s="6"/>
    </row>
    <row r="12" spans="1:13">
      <c r="A12" s="140"/>
      <c r="B12" s="5"/>
      <c r="C12" s="6"/>
      <c r="D12" s="303"/>
      <c r="E12" s="303"/>
      <c r="F12" s="6"/>
      <c r="G12" s="6"/>
      <c r="H12" s="6"/>
      <c r="I12" s="6"/>
      <c r="J12" s="6"/>
      <c r="K12" s="6"/>
      <c r="L12" s="117"/>
      <c r="M12" s="6"/>
    </row>
    <row r="13" spans="1:13">
      <c r="A13" s="142"/>
      <c r="B13" s="113"/>
      <c r="C13" s="90"/>
      <c r="D13" s="304"/>
      <c r="E13" s="304"/>
      <c r="F13" s="90"/>
      <c r="G13" s="90"/>
      <c r="H13" s="90"/>
      <c r="I13" s="90"/>
      <c r="J13" s="90"/>
      <c r="K13" s="90"/>
      <c r="L13" s="130"/>
      <c r="M13" s="6"/>
    </row>
    <row r="14" spans="1:13">
      <c r="A14" s="5"/>
      <c r="B14" s="5"/>
      <c r="C14" s="6"/>
      <c r="D14" s="303"/>
      <c r="E14" s="303"/>
      <c r="F14" s="6"/>
      <c r="G14" s="6"/>
      <c r="H14" s="6"/>
      <c r="I14" s="6"/>
      <c r="J14" s="6"/>
      <c r="K14" s="6"/>
      <c r="L14" s="6"/>
      <c r="M14" s="6"/>
    </row>
    <row r="15" spans="1:13">
      <c r="A15" s="5"/>
      <c r="B15" s="5"/>
      <c r="C15" s="6"/>
      <c r="D15" s="303"/>
      <c r="E15" s="303"/>
      <c r="F15" s="6"/>
      <c r="G15" s="6"/>
      <c r="H15" s="6"/>
      <c r="I15" s="6"/>
      <c r="J15" s="6"/>
      <c r="K15" s="6"/>
      <c r="L15" s="6"/>
      <c r="M15" s="6"/>
    </row>
    <row r="16" spans="1:13">
      <c r="A16" s="5"/>
      <c r="B16" s="5"/>
      <c r="C16" s="6"/>
      <c r="D16" s="303"/>
      <c r="E16" s="303"/>
      <c r="F16" s="6"/>
      <c r="G16" s="6"/>
      <c r="H16" s="6"/>
      <c r="I16" s="6"/>
      <c r="J16" s="6"/>
      <c r="K16" s="6"/>
      <c r="L16" s="6"/>
      <c r="M16" s="6"/>
    </row>
    <row r="17" spans="1:13">
      <c r="A17" s="5"/>
      <c r="B17" s="5"/>
      <c r="C17" s="6"/>
      <c r="D17" s="303"/>
      <c r="E17" s="303"/>
      <c r="F17" s="6"/>
      <c r="G17" s="6"/>
      <c r="H17" s="6"/>
      <c r="I17" s="6"/>
      <c r="J17" s="6"/>
      <c r="K17" s="6"/>
      <c r="L17" s="6"/>
      <c r="M17" s="6"/>
    </row>
    <row r="18" spans="1:13">
      <c r="A18" s="5"/>
      <c r="B18" s="5"/>
      <c r="C18" s="6"/>
      <c r="D18" s="6"/>
      <c r="E18" s="127"/>
      <c r="F18" s="6"/>
      <c r="G18" s="6"/>
      <c r="H18" s="6"/>
      <c r="I18" s="6"/>
      <c r="J18" s="6"/>
      <c r="K18" s="6"/>
      <c r="L18" s="6"/>
      <c r="M18" s="6"/>
    </row>
    <row r="19" spans="1:13">
      <c r="A19" s="5"/>
      <c r="B19" s="5"/>
      <c r="C19" s="6"/>
      <c r="D19" s="6"/>
      <c r="E19" s="127"/>
      <c r="F19" s="6"/>
      <c r="G19" s="6"/>
      <c r="H19" s="6"/>
      <c r="I19" s="6"/>
      <c r="J19" s="6"/>
      <c r="K19" s="6"/>
      <c r="L19" s="6"/>
      <c r="M19" s="6"/>
    </row>
    <row r="20" spans="1:13">
      <c r="A20" s="5"/>
      <c r="B20" s="5"/>
      <c r="C20" s="6"/>
      <c r="D20" s="6"/>
      <c r="E20" s="127"/>
      <c r="F20" s="6"/>
      <c r="G20" s="6"/>
      <c r="H20" s="6"/>
      <c r="I20" s="6"/>
      <c r="J20" s="6"/>
      <c r="K20" s="6"/>
      <c r="L20" s="6"/>
      <c r="M20" s="6"/>
    </row>
    <row r="21" spans="1:13">
      <c r="A21" s="5"/>
      <c r="B21" s="5"/>
      <c r="C21" s="6"/>
      <c r="D21" s="6"/>
      <c r="E21" s="127"/>
      <c r="F21" s="6"/>
      <c r="G21" s="6"/>
      <c r="H21" s="6"/>
      <c r="I21" s="6"/>
      <c r="J21" s="6"/>
      <c r="K21" s="6"/>
      <c r="L21" s="6"/>
      <c r="M21" s="6"/>
    </row>
    <row r="22" spans="1:13">
      <c r="A22" s="5"/>
      <c r="B22" s="5"/>
      <c r="C22" s="6"/>
      <c r="D22" s="6"/>
      <c r="E22" s="127"/>
      <c r="F22" s="6"/>
      <c r="G22" s="6"/>
      <c r="H22" s="6"/>
      <c r="I22" s="6"/>
      <c r="J22" s="6"/>
      <c r="K22" s="6"/>
      <c r="L22" s="6"/>
      <c r="M22" s="6"/>
    </row>
    <row r="23" spans="1:13">
      <c r="A23" s="5"/>
      <c r="B23" s="5"/>
      <c r="C23" s="6"/>
      <c r="D23" s="6"/>
      <c r="E23" s="127"/>
      <c r="F23" s="6"/>
      <c r="G23" s="6"/>
      <c r="H23" s="6"/>
      <c r="I23" s="6"/>
      <c r="J23" s="6"/>
      <c r="K23" s="6"/>
      <c r="L23" s="6"/>
      <c r="M23" s="6"/>
    </row>
    <row r="24" spans="1:13">
      <c r="A24" s="5"/>
      <c r="B24" s="5"/>
      <c r="C24" s="6"/>
      <c r="D24" s="6"/>
      <c r="E24" s="127"/>
      <c r="F24" s="6"/>
      <c r="G24" s="6"/>
      <c r="H24" s="6"/>
      <c r="I24" s="6"/>
      <c r="J24" s="6"/>
      <c r="K24" s="6"/>
      <c r="L24" s="6"/>
      <c r="M24" s="6"/>
    </row>
    <row r="25" spans="1:13">
      <c r="A25" s="5"/>
      <c r="B25" s="5"/>
      <c r="C25" s="6"/>
      <c r="D25" s="6"/>
      <c r="E25" s="127"/>
      <c r="F25" s="6"/>
      <c r="G25" s="6"/>
      <c r="H25" s="6"/>
      <c r="I25" s="6"/>
      <c r="J25" s="6"/>
      <c r="K25" s="6"/>
      <c r="L25" s="6"/>
      <c r="M25" s="6"/>
    </row>
    <row r="26" spans="1:13">
      <c r="A26" s="5"/>
      <c r="B26" s="5"/>
      <c r="C26" s="6"/>
      <c r="D26" s="6"/>
      <c r="E26" s="127"/>
      <c r="F26" s="6"/>
      <c r="G26" s="6"/>
      <c r="H26" s="6"/>
      <c r="I26" s="6"/>
      <c r="J26" s="6"/>
      <c r="K26" s="6"/>
      <c r="L26" s="6"/>
      <c r="M26" s="6"/>
    </row>
    <row r="27" spans="1:13">
      <c r="A27" s="5"/>
      <c r="B27" s="5"/>
      <c r="C27" s="6"/>
      <c r="D27" s="6"/>
      <c r="E27" s="127"/>
      <c r="F27" s="6"/>
      <c r="G27" s="6"/>
      <c r="H27" s="6"/>
      <c r="I27" s="6"/>
      <c r="J27" s="6"/>
      <c r="K27" s="6"/>
      <c r="L27" s="6"/>
      <c r="M27" s="6"/>
    </row>
    <row r="28" spans="1:13" ht="15.75">
      <c r="A28" s="5"/>
      <c r="B28" s="5"/>
      <c r="C28" s="131"/>
      <c r="D28" s="131"/>
      <c r="E28" s="127"/>
      <c r="F28" s="6"/>
      <c r="G28" s="6"/>
      <c r="H28" s="6"/>
      <c r="I28" s="6"/>
      <c r="J28" s="6"/>
      <c r="K28" s="6"/>
      <c r="L28" s="6"/>
      <c r="M28" s="6"/>
    </row>
    <row r="29" spans="1:13">
      <c r="A29" s="5"/>
      <c r="B29" s="5"/>
      <c r="C29" s="6"/>
      <c r="D29" s="6"/>
      <c r="E29" s="127"/>
      <c r="F29" s="6"/>
      <c r="G29" s="6"/>
      <c r="H29" s="6"/>
      <c r="I29" s="6"/>
      <c r="J29" s="6"/>
      <c r="K29" s="6"/>
      <c r="L29" s="6"/>
      <c r="M29" s="6"/>
    </row>
    <row r="30" spans="1:13">
      <c r="A30" s="5"/>
      <c r="B30" s="5"/>
      <c r="C30" s="6"/>
      <c r="D30" s="6"/>
      <c r="E30" s="127"/>
      <c r="F30" s="6"/>
      <c r="G30" s="6"/>
      <c r="H30" s="6"/>
      <c r="I30" s="6"/>
      <c r="J30" s="6"/>
      <c r="K30" s="6"/>
      <c r="L30" s="6"/>
      <c r="M30" s="6"/>
    </row>
    <row r="31" spans="1:13">
      <c r="A31" s="5"/>
      <c r="B31" s="5"/>
      <c r="C31" s="6"/>
      <c r="D31" s="6"/>
      <c r="E31" s="127"/>
      <c r="F31" s="6"/>
      <c r="G31" s="6"/>
      <c r="H31" s="6"/>
      <c r="I31" s="6"/>
      <c r="J31" s="6"/>
      <c r="K31" s="6"/>
      <c r="L31" s="6"/>
      <c r="M31" s="6"/>
    </row>
    <row r="32" spans="1:13">
      <c r="A32" s="5"/>
      <c r="B32" s="5"/>
      <c r="C32" s="128"/>
      <c r="D32" s="6"/>
      <c r="E32" s="127"/>
      <c r="F32" s="6"/>
      <c r="G32" s="6"/>
      <c r="H32" s="6"/>
      <c r="I32" s="6"/>
      <c r="J32" s="6"/>
      <c r="K32" s="6"/>
      <c r="L32" s="6"/>
      <c r="M32" s="6"/>
    </row>
    <row r="33" spans="1:13">
      <c r="A33" s="5"/>
      <c r="B33" s="5"/>
      <c r="C33" s="6"/>
      <c r="D33" s="6"/>
      <c r="E33" s="127"/>
      <c r="F33" s="6"/>
      <c r="G33" s="6"/>
      <c r="H33" s="6"/>
      <c r="I33" s="6"/>
      <c r="J33" s="6"/>
      <c r="K33" s="6"/>
      <c r="L33" s="6"/>
      <c r="M33" s="6"/>
    </row>
    <row r="34" spans="1:13">
      <c r="A34" s="5"/>
      <c r="B34" s="5"/>
      <c r="C34" s="6"/>
      <c r="D34" s="6"/>
      <c r="E34" s="127"/>
      <c r="F34" s="6"/>
      <c r="G34" s="6"/>
      <c r="H34" s="6"/>
      <c r="I34" s="6"/>
      <c r="J34" s="6"/>
      <c r="K34" s="6"/>
      <c r="L34" s="6"/>
      <c r="M34" s="6"/>
    </row>
    <row r="35" spans="1:13">
      <c r="A35" s="5"/>
      <c r="B35" s="5"/>
      <c r="C35" s="6"/>
      <c r="D35" s="6"/>
      <c r="E35" s="127"/>
      <c r="F35" s="6"/>
      <c r="G35" s="6"/>
      <c r="H35" s="6"/>
      <c r="I35" s="6"/>
      <c r="J35" s="6"/>
      <c r="K35" s="6"/>
      <c r="L35" s="6"/>
      <c r="M35" s="6"/>
    </row>
  </sheetData>
  <mergeCells count="17">
    <mergeCell ref="B1:I2"/>
    <mergeCell ref="J1:K2"/>
    <mergeCell ref="B7:C7"/>
    <mergeCell ref="B9:C9"/>
    <mergeCell ref="D10:E10"/>
    <mergeCell ref="D8:E8"/>
    <mergeCell ref="F7:H7"/>
    <mergeCell ref="F9:H9"/>
    <mergeCell ref="D5:F5"/>
    <mergeCell ref="D15:E15"/>
    <mergeCell ref="D16:E16"/>
    <mergeCell ref="D17:E17"/>
    <mergeCell ref="H5:L5"/>
    <mergeCell ref="D12:E12"/>
    <mergeCell ref="D13:E13"/>
    <mergeCell ref="D14:E14"/>
    <mergeCell ref="D11:F11"/>
  </mergeCells>
  <pageMargins left="0.74803149606299213" right="0.74803149606299213" top="0.98425196850393704" bottom="0.98425196850393704" header="0.51181102362204722" footer="0.51181102362204722"/>
  <pageSetup paperSize="9" scale="92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9">
    <pageSetUpPr fitToPage="1"/>
  </sheetPr>
  <dimension ref="A1:N23"/>
  <sheetViews>
    <sheetView workbookViewId="0">
      <selection activeCell="A7" sqref="A7"/>
    </sheetView>
  </sheetViews>
  <sheetFormatPr defaultRowHeight="12.75"/>
  <cols>
    <col min="1" max="1" width="9.140625" style="201"/>
    <col min="2" max="2" width="9.7109375" customWidth="1"/>
    <col min="3" max="3" width="20.85546875" customWidth="1"/>
    <col min="4" max="4" width="19.85546875" style="123" customWidth="1"/>
    <col min="5" max="5" width="1.42578125" customWidth="1"/>
    <col min="6" max="6" width="5.28515625" customWidth="1"/>
    <col min="7" max="7" width="7" customWidth="1"/>
    <col min="8" max="8" width="8.5703125" customWidth="1"/>
    <col min="9" max="9" width="7.7109375" customWidth="1"/>
    <col min="10" max="10" width="5.85546875" customWidth="1"/>
    <col min="11" max="11" width="1.42578125" customWidth="1"/>
    <col min="12" max="12" width="5.140625" customWidth="1"/>
    <col min="13" max="13" width="1.42578125" customWidth="1"/>
    <col min="14" max="14" width="6" customWidth="1"/>
  </cols>
  <sheetData>
    <row r="1" spans="1:14" ht="21" customHeight="1">
      <c r="A1" s="310" t="s">
        <v>254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</row>
    <row r="2" spans="1:14" ht="15.75" customHeight="1">
      <c r="A2" s="6" t="s">
        <v>173</v>
      </c>
      <c r="C2" s="6">
        <f>'Исходные данные'!$W$25</f>
        <v>0</v>
      </c>
      <c r="D2" s="6"/>
      <c r="E2" s="6"/>
      <c r="G2" s="6"/>
      <c r="H2" s="6"/>
      <c r="I2" s="6"/>
      <c r="J2" s="6"/>
      <c r="K2" s="6"/>
      <c r="L2" s="6"/>
    </row>
    <row r="3" spans="1:14">
      <c r="A3"/>
      <c r="D3"/>
    </row>
    <row r="4" spans="1:14" ht="28.5" customHeight="1">
      <c r="A4" s="203" t="s">
        <v>80</v>
      </c>
      <c r="B4" s="204" t="s">
        <v>92</v>
      </c>
      <c r="C4" s="198" t="s">
        <v>156</v>
      </c>
      <c r="D4" s="224" t="s">
        <v>157</v>
      </c>
      <c r="E4" s="225"/>
      <c r="F4" s="226"/>
      <c r="G4" s="202" t="s">
        <v>125</v>
      </c>
      <c r="H4" s="227" t="s">
        <v>260</v>
      </c>
      <c r="I4" s="228"/>
      <c r="J4" s="224" t="s">
        <v>158</v>
      </c>
      <c r="K4" s="225"/>
      <c r="L4" s="225"/>
      <c r="M4" s="225"/>
      <c r="N4" s="226"/>
    </row>
    <row r="5" spans="1:14">
      <c r="A5"/>
      <c r="D5"/>
    </row>
    <row r="6" spans="1:14">
      <c r="A6" s="6"/>
      <c r="B6" s="6"/>
      <c r="C6" s="6"/>
      <c r="D6" s="127"/>
      <c r="E6" s="6"/>
      <c r="F6" s="6"/>
      <c r="G6" s="6"/>
      <c r="H6" s="6"/>
      <c r="I6" s="6"/>
      <c r="J6" s="6"/>
      <c r="K6" s="6"/>
      <c r="L6" s="6"/>
    </row>
    <row r="7" spans="1:14">
      <c r="A7" s="133" t="s">
        <v>255</v>
      </c>
      <c r="B7" s="6"/>
      <c r="C7" s="6"/>
      <c r="D7" s="127"/>
      <c r="E7" s="6"/>
      <c r="F7" s="6"/>
      <c r="G7" s="6"/>
      <c r="H7" s="6"/>
      <c r="I7" s="6"/>
      <c r="J7" s="6"/>
      <c r="K7" s="6"/>
      <c r="L7" s="6"/>
    </row>
    <row r="8" spans="1:14">
      <c r="A8" s="6"/>
      <c r="B8" s="6"/>
      <c r="C8" s="6"/>
      <c r="D8" s="127"/>
      <c r="E8" s="6"/>
      <c r="F8" s="6"/>
      <c r="G8" s="6"/>
      <c r="H8" s="6"/>
      <c r="I8" s="6"/>
      <c r="J8" s="6"/>
      <c r="K8" s="6"/>
      <c r="L8" s="6"/>
    </row>
    <row r="9" spans="1:14">
      <c r="A9" s="6" t="s">
        <v>256</v>
      </c>
      <c r="B9" s="6"/>
      <c r="D9" s="6" t="s">
        <v>257</v>
      </c>
      <c r="E9" s="6"/>
      <c r="F9" s="6"/>
      <c r="G9" s="6"/>
      <c r="H9" s="6"/>
      <c r="I9" s="6"/>
      <c r="J9" s="6"/>
      <c r="K9" s="6"/>
      <c r="L9" s="6"/>
    </row>
    <row r="10" spans="1:14">
      <c r="A10" s="6"/>
      <c r="B10" s="6"/>
      <c r="C10" s="6"/>
      <c r="D10" s="127"/>
      <c r="E10" s="6"/>
      <c r="F10" s="6"/>
      <c r="G10" s="6"/>
      <c r="H10" s="6"/>
      <c r="I10" s="6"/>
      <c r="J10" s="6"/>
      <c r="K10" s="6"/>
      <c r="L10" s="6"/>
    </row>
    <row r="11" spans="1:14">
      <c r="A11" s="6" t="s">
        <v>258</v>
      </c>
      <c r="B11" s="6"/>
      <c r="D11" s="6" t="s">
        <v>259</v>
      </c>
      <c r="E11" s="6"/>
      <c r="F11" s="6"/>
      <c r="G11" s="6"/>
      <c r="H11" s="6"/>
      <c r="I11" s="6"/>
      <c r="J11" s="6"/>
      <c r="K11" s="6"/>
      <c r="L11" s="6"/>
    </row>
    <row r="12" spans="1:14">
      <c r="A12" s="5"/>
      <c r="B12" s="6"/>
      <c r="C12" s="6"/>
      <c r="D12" s="127"/>
      <c r="E12" s="6"/>
      <c r="F12" s="6"/>
      <c r="G12" s="6"/>
      <c r="H12" s="6"/>
      <c r="I12" s="6"/>
      <c r="J12" s="6"/>
      <c r="K12" s="6"/>
      <c r="L12" s="6"/>
    </row>
    <row r="13" spans="1:14">
      <c r="A13" s="5"/>
      <c r="B13" s="6"/>
      <c r="C13" s="6"/>
      <c r="D13" s="127"/>
      <c r="E13" s="6"/>
      <c r="F13" s="6"/>
      <c r="G13" s="6"/>
      <c r="H13" s="6"/>
      <c r="I13" s="6"/>
      <c r="J13" s="6"/>
      <c r="K13" s="6"/>
      <c r="L13" s="6"/>
    </row>
    <row r="14" spans="1:14">
      <c r="A14" s="5"/>
      <c r="B14" s="6"/>
      <c r="C14" s="6"/>
      <c r="D14" s="127"/>
      <c r="E14" s="6"/>
      <c r="F14" s="6"/>
      <c r="G14" s="6"/>
      <c r="H14" s="6"/>
      <c r="I14" s="6"/>
      <c r="J14" s="6"/>
      <c r="K14" s="6"/>
      <c r="L14" s="6"/>
    </row>
    <row r="15" spans="1:14">
      <c r="A15" s="5"/>
      <c r="B15" s="6"/>
      <c r="C15" s="6"/>
      <c r="D15" s="127"/>
      <c r="E15" s="6"/>
      <c r="F15" s="6"/>
      <c r="G15" s="6"/>
      <c r="H15" s="6"/>
      <c r="I15" s="6"/>
      <c r="J15" s="6"/>
      <c r="K15" s="6"/>
      <c r="L15" s="6"/>
    </row>
    <row r="16" spans="1:14" ht="15.75">
      <c r="A16" s="5"/>
      <c r="B16" s="131"/>
      <c r="C16" s="131"/>
      <c r="D16" s="127"/>
      <c r="E16" s="6"/>
      <c r="F16" s="6"/>
      <c r="G16" s="6"/>
      <c r="H16" s="6"/>
      <c r="I16" s="6"/>
      <c r="J16" s="6"/>
      <c r="K16" s="6"/>
      <c r="L16" s="6"/>
    </row>
    <row r="17" spans="1:12">
      <c r="A17" s="5"/>
      <c r="B17" s="6"/>
      <c r="C17" s="6"/>
      <c r="D17" s="127"/>
      <c r="E17" s="6"/>
      <c r="F17" s="6"/>
      <c r="G17" s="6"/>
      <c r="H17" s="6"/>
      <c r="I17" s="6"/>
      <c r="J17" s="6"/>
      <c r="K17" s="6"/>
      <c r="L17" s="6"/>
    </row>
    <row r="18" spans="1:12">
      <c r="A18" s="5"/>
      <c r="B18" s="6"/>
      <c r="C18" s="6"/>
      <c r="D18" s="127"/>
      <c r="E18" s="6"/>
      <c r="F18" s="6"/>
      <c r="G18" s="6"/>
      <c r="H18" s="6"/>
      <c r="I18" s="6"/>
      <c r="J18" s="6"/>
      <c r="K18" s="6"/>
      <c r="L18" s="6"/>
    </row>
    <row r="19" spans="1:12">
      <c r="A19" s="5"/>
      <c r="B19" s="6"/>
      <c r="C19" s="6"/>
      <c r="D19" s="127"/>
      <c r="E19" s="6"/>
      <c r="F19" s="6"/>
      <c r="G19" s="6"/>
      <c r="H19" s="6"/>
      <c r="I19" s="6"/>
      <c r="J19" s="6"/>
      <c r="K19" s="6"/>
      <c r="L19" s="6"/>
    </row>
    <row r="20" spans="1:12">
      <c r="A20" s="5"/>
      <c r="B20" s="128"/>
      <c r="C20" s="6"/>
      <c r="D20" s="127"/>
      <c r="E20" s="6"/>
      <c r="F20" s="6"/>
      <c r="G20" s="6"/>
      <c r="H20" s="6"/>
      <c r="I20" s="6"/>
      <c r="J20" s="6"/>
      <c r="K20" s="6"/>
      <c r="L20" s="6"/>
    </row>
    <row r="21" spans="1:12">
      <c r="A21" s="5"/>
      <c r="B21" s="6"/>
      <c r="C21" s="6"/>
      <c r="D21" s="127"/>
      <c r="E21" s="6"/>
      <c r="F21" s="6"/>
      <c r="G21" s="6"/>
      <c r="H21" s="6"/>
      <c r="I21" s="6"/>
      <c r="J21" s="6"/>
      <c r="K21" s="6"/>
      <c r="L21" s="6"/>
    </row>
    <row r="22" spans="1:12">
      <c r="A22" s="5"/>
      <c r="B22" s="6"/>
      <c r="C22" s="6"/>
      <c r="D22" s="127"/>
      <c r="E22" s="6"/>
      <c r="F22" s="6"/>
      <c r="G22" s="6"/>
      <c r="H22" s="6"/>
      <c r="I22" s="6"/>
      <c r="J22" s="6"/>
      <c r="K22" s="6"/>
      <c r="L22" s="6"/>
    </row>
    <row r="23" spans="1:12">
      <c r="A23" s="5"/>
      <c r="B23" s="6"/>
      <c r="C23" s="6"/>
      <c r="D23" s="127"/>
      <c r="E23" s="6"/>
      <c r="F23" s="6"/>
      <c r="G23" s="6"/>
      <c r="H23" s="6"/>
      <c r="I23" s="6"/>
      <c r="J23" s="6"/>
      <c r="K23" s="6"/>
      <c r="L23" s="6"/>
    </row>
  </sheetData>
  <mergeCells count="4">
    <mergeCell ref="A1:L1"/>
    <mergeCell ref="D4:F4"/>
    <mergeCell ref="H4:I4"/>
    <mergeCell ref="J4:N4"/>
  </mergeCells>
  <pageMargins left="0.74803149606299213" right="0.74803149606299213" top="0.98425196850393704" bottom="0.98425196850393704" header="0.51181102362204722" footer="0.51181102362204722"/>
  <pageSetup paperSize="9" scale="92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">
    <pageSetUpPr fitToPage="1"/>
  </sheetPr>
  <dimension ref="A1:AC28"/>
  <sheetViews>
    <sheetView workbookViewId="0">
      <selection activeCell="Q6" sqref="Q6:R6"/>
    </sheetView>
  </sheetViews>
  <sheetFormatPr defaultRowHeight="12.75"/>
  <cols>
    <col min="1" max="1" width="0.85546875" customWidth="1"/>
    <col min="2" max="2" width="20.85546875" customWidth="1"/>
    <col min="3" max="3" width="19.85546875" customWidth="1"/>
    <col min="4" max="4" width="1.42578125" customWidth="1"/>
    <col min="5" max="5" width="5.28515625" customWidth="1"/>
    <col min="6" max="6" width="7" customWidth="1"/>
    <col min="7" max="7" width="6.140625" customWidth="1"/>
    <col min="8" max="8" width="11.5703125" customWidth="1"/>
    <col min="9" max="9" width="4.7109375" customWidth="1"/>
    <col min="10" max="10" width="1.42578125" customWidth="1"/>
    <col min="11" max="11" width="5.140625" customWidth="1"/>
    <col min="12" max="12" width="1.42578125" customWidth="1"/>
    <col min="13" max="13" width="6" customWidth="1"/>
  </cols>
  <sheetData>
    <row r="1" spans="1:29">
      <c r="A1" s="121"/>
      <c r="B1" s="115"/>
      <c r="C1" s="115"/>
      <c r="D1" s="125"/>
      <c r="E1" s="115"/>
      <c r="F1" s="115"/>
      <c r="G1" s="115"/>
      <c r="H1" s="115"/>
      <c r="I1" s="115"/>
      <c r="J1" s="115"/>
      <c r="K1" s="115"/>
      <c r="L1" s="115"/>
      <c r="M1" s="116"/>
      <c r="Q1" s="311" t="s">
        <v>161</v>
      </c>
      <c r="R1" s="311"/>
      <c r="S1" s="224" t="s">
        <v>162</v>
      </c>
      <c r="T1" s="226"/>
      <c r="U1" s="198" t="s">
        <v>163</v>
      </c>
      <c r="V1" s="311" t="s">
        <v>164</v>
      </c>
      <c r="W1" s="311"/>
      <c r="X1" s="311" t="s">
        <v>138</v>
      </c>
      <c r="Y1" s="311"/>
      <c r="Z1" s="311"/>
      <c r="AA1" s="311"/>
      <c r="AB1" s="311"/>
      <c r="AC1" s="117"/>
    </row>
    <row r="2" spans="1:29" ht="15.75">
      <c r="A2" s="312" t="s">
        <v>155</v>
      </c>
      <c r="B2" s="313"/>
      <c r="C2" s="313"/>
      <c r="D2" s="313"/>
      <c r="E2" s="313"/>
      <c r="F2" s="313"/>
      <c r="G2" s="313"/>
      <c r="H2" s="191"/>
      <c r="I2" s="6"/>
      <c r="J2" s="6"/>
      <c r="K2" s="6"/>
      <c r="L2" s="6"/>
      <c r="M2" s="117"/>
      <c r="Q2" s="229"/>
      <c r="R2" s="229"/>
      <c r="S2" s="222"/>
      <c r="T2" s="223"/>
      <c r="U2" s="124"/>
      <c r="V2" s="124"/>
      <c r="W2" s="124"/>
      <c r="X2" s="229"/>
      <c r="Y2" s="229"/>
      <c r="Z2" s="229"/>
      <c r="AA2" s="229"/>
      <c r="AB2" s="229"/>
      <c r="AC2" s="117"/>
    </row>
    <row r="3" spans="1:29">
      <c r="A3" s="120"/>
      <c r="B3" s="6" t="s">
        <v>173</v>
      </c>
      <c r="C3" s="6"/>
      <c r="D3" s="127"/>
      <c r="E3" s="6"/>
      <c r="F3" s="6"/>
      <c r="G3" s="6">
        <f>'Исходные данные'!V25</f>
        <v>0</v>
      </c>
      <c r="H3" s="6"/>
      <c r="I3" s="6"/>
      <c r="J3" s="6"/>
      <c r="K3" s="6"/>
      <c r="L3" s="6"/>
      <c r="M3" s="117"/>
      <c r="Q3" s="229"/>
      <c r="R3" s="229"/>
      <c r="S3" s="222"/>
      <c r="T3" s="223"/>
      <c r="U3" s="124"/>
      <c r="V3" s="124"/>
      <c r="W3" s="124"/>
      <c r="X3" s="229"/>
      <c r="Y3" s="229"/>
      <c r="Z3" s="229"/>
      <c r="AA3" s="229"/>
      <c r="AB3" s="229"/>
      <c r="AC3" s="117"/>
    </row>
    <row r="4" spans="1:29">
      <c r="Q4" s="229"/>
      <c r="R4" s="229"/>
      <c r="S4" s="222"/>
      <c r="T4" s="223"/>
      <c r="U4" s="124"/>
      <c r="V4" s="124"/>
      <c r="W4" s="124"/>
      <c r="X4" s="229"/>
      <c r="Y4" s="229"/>
      <c r="Z4" s="229"/>
      <c r="AA4" s="229"/>
      <c r="AB4" s="229"/>
      <c r="AC4" s="117"/>
    </row>
    <row r="5" spans="1:29">
      <c r="B5" s="198" t="s">
        <v>156</v>
      </c>
      <c r="C5" s="224" t="s">
        <v>157</v>
      </c>
      <c r="D5" s="225"/>
      <c r="E5" s="226"/>
      <c r="F5" s="198" t="s">
        <v>125</v>
      </c>
      <c r="G5" s="311" t="s">
        <v>160</v>
      </c>
      <c r="H5" s="311"/>
      <c r="I5" s="224" t="s">
        <v>158</v>
      </c>
      <c r="J5" s="225"/>
      <c r="K5" s="225"/>
      <c r="L5" s="225"/>
      <c r="M5" s="226"/>
      <c r="Q5" s="229"/>
      <c r="R5" s="229"/>
      <c r="S5" s="222"/>
      <c r="T5" s="223"/>
      <c r="U5" s="124"/>
      <c r="V5" s="124"/>
      <c r="W5" s="124"/>
      <c r="X5" s="229"/>
      <c r="Y5" s="229"/>
      <c r="Z5" s="229"/>
      <c r="AA5" s="229"/>
      <c r="AB5" s="229"/>
      <c r="AC5" s="117"/>
    </row>
    <row r="6" spans="1:29">
      <c r="Q6" s="229"/>
      <c r="R6" s="229"/>
      <c r="S6" s="222"/>
      <c r="T6" s="223"/>
      <c r="U6" s="124"/>
      <c r="V6" s="124"/>
      <c r="W6" s="124"/>
      <c r="X6" s="229"/>
      <c r="Y6" s="229"/>
      <c r="Z6" s="229"/>
      <c r="AA6" s="229"/>
      <c r="AB6" s="229"/>
      <c r="AC6" s="117"/>
    </row>
    <row r="7" spans="1:29">
      <c r="Q7" s="229"/>
      <c r="R7" s="229"/>
      <c r="S7" s="222"/>
      <c r="T7" s="223"/>
      <c r="U7" s="124"/>
      <c r="V7" s="124"/>
      <c r="W7" s="124"/>
      <c r="X7" s="229"/>
      <c r="Y7" s="229"/>
      <c r="Z7" s="229"/>
      <c r="AA7" s="229"/>
      <c r="AB7" s="229"/>
      <c r="AC7" s="117"/>
    </row>
    <row r="8" spans="1:29">
      <c r="Q8" s="229"/>
      <c r="R8" s="229"/>
      <c r="S8" s="222"/>
      <c r="T8" s="223"/>
      <c r="U8" s="124"/>
      <c r="V8" s="124"/>
      <c r="W8" s="124"/>
      <c r="X8" s="229"/>
      <c r="Y8" s="229"/>
      <c r="Z8" s="229"/>
      <c r="AA8" s="229"/>
      <c r="AB8" s="229"/>
      <c r="AC8" s="117"/>
    </row>
    <row r="9" spans="1:29">
      <c r="Q9" s="229"/>
      <c r="R9" s="229"/>
      <c r="S9" s="222"/>
      <c r="T9" s="223"/>
      <c r="U9" s="124"/>
      <c r="V9" s="124"/>
      <c r="W9" s="124"/>
      <c r="X9" s="229"/>
      <c r="Y9" s="229"/>
      <c r="Z9" s="229"/>
      <c r="AA9" s="229"/>
      <c r="AB9" s="229"/>
      <c r="AC9" s="117"/>
    </row>
    <row r="10" spans="1:29">
      <c r="Q10" s="229"/>
      <c r="R10" s="229"/>
      <c r="S10" s="222"/>
      <c r="T10" s="223"/>
      <c r="U10" s="124"/>
      <c r="V10" s="124"/>
      <c r="W10" s="124"/>
      <c r="X10" s="229"/>
      <c r="Y10" s="229"/>
      <c r="Z10" s="229"/>
      <c r="AA10" s="229"/>
      <c r="AB10" s="229"/>
      <c r="AC10" s="117"/>
    </row>
    <row r="11" spans="1:29">
      <c r="Q11" s="229"/>
      <c r="R11" s="229"/>
      <c r="S11" s="222"/>
      <c r="T11" s="223"/>
      <c r="U11" s="124"/>
      <c r="V11" s="124"/>
      <c r="W11" s="124"/>
      <c r="X11" s="229"/>
      <c r="Y11" s="229"/>
      <c r="Z11" s="229"/>
      <c r="AA11" s="229"/>
      <c r="AB11" s="229"/>
      <c r="AC11" s="117"/>
    </row>
    <row r="12" spans="1:29">
      <c r="Q12" s="120"/>
      <c r="R12" s="6"/>
      <c r="S12" s="6"/>
      <c r="T12" s="127"/>
      <c r="U12" s="6"/>
      <c r="V12" s="6"/>
      <c r="W12" s="6"/>
      <c r="X12" s="6"/>
      <c r="Y12" s="6"/>
      <c r="Z12" s="6"/>
      <c r="AA12" s="6"/>
      <c r="AB12" s="6"/>
      <c r="AC12" s="117"/>
    </row>
    <row r="13" spans="1:29">
      <c r="Q13" s="120"/>
      <c r="R13" s="6" t="s">
        <v>165</v>
      </c>
      <c r="S13" s="6"/>
      <c r="T13" s="127"/>
      <c r="U13" s="90"/>
      <c r="V13" s="90"/>
      <c r="W13" s="90"/>
      <c r="X13" s="6"/>
      <c r="Y13" s="6"/>
      <c r="Z13" s="6"/>
      <c r="AA13" s="6"/>
      <c r="AB13" s="6"/>
      <c r="AC13" s="117"/>
    </row>
    <row r="14" spans="1:29">
      <c r="Q14" s="120"/>
      <c r="R14" s="6"/>
      <c r="S14" s="6"/>
      <c r="T14" s="127"/>
      <c r="U14" s="6"/>
      <c r="V14" s="6"/>
      <c r="W14" s="6"/>
      <c r="X14" s="6"/>
      <c r="Y14" s="6"/>
      <c r="Z14" s="6"/>
      <c r="AA14" s="6"/>
      <c r="AB14" s="6"/>
      <c r="AC14" s="117"/>
    </row>
    <row r="15" spans="1:29">
      <c r="Q15" s="120"/>
      <c r="R15" s="6" t="s">
        <v>166</v>
      </c>
      <c r="S15" s="6"/>
      <c r="T15" s="127"/>
      <c r="U15" s="90"/>
      <c r="V15" s="90"/>
      <c r="W15" s="90"/>
      <c r="X15" s="6"/>
      <c r="Y15" s="6"/>
      <c r="Z15" s="6"/>
      <c r="AA15" s="6"/>
      <c r="AB15" s="6"/>
      <c r="AC15" s="117"/>
    </row>
    <row r="16" spans="1:29">
      <c r="Q16" s="120"/>
      <c r="R16" s="6"/>
      <c r="S16" s="6"/>
      <c r="T16" s="127"/>
      <c r="U16" s="6"/>
      <c r="V16" s="6"/>
      <c r="W16" s="6"/>
      <c r="X16" s="6"/>
      <c r="Y16" s="6"/>
      <c r="Z16" s="6"/>
      <c r="AA16" s="6"/>
      <c r="AB16" s="6"/>
      <c r="AC16" s="117"/>
    </row>
    <row r="17" spans="17:29">
      <c r="Q17" s="120"/>
      <c r="R17" s="6" t="s">
        <v>167</v>
      </c>
      <c r="S17" s="6"/>
      <c r="T17" s="127"/>
      <c r="U17" s="90"/>
      <c r="V17" s="90"/>
      <c r="W17" s="90"/>
      <c r="X17" s="6"/>
      <c r="Y17" s="6"/>
      <c r="Z17" s="6"/>
      <c r="AA17" s="6"/>
      <c r="AB17" s="6"/>
      <c r="AC17" s="117"/>
    </row>
    <row r="18" spans="17:29">
      <c r="Q18" s="120"/>
      <c r="R18" s="6"/>
      <c r="S18" s="6"/>
      <c r="T18" s="127"/>
      <c r="U18" s="6"/>
      <c r="V18" s="6"/>
      <c r="W18" s="6"/>
      <c r="X18" s="6"/>
      <c r="Y18" s="6"/>
      <c r="Z18" s="6"/>
      <c r="AA18" s="6"/>
      <c r="AB18" s="6"/>
      <c r="AC18" s="117"/>
    </row>
    <row r="19" spans="17:29">
      <c r="Q19" s="120"/>
      <c r="R19" s="6" t="s">
        <v>168</v>
      </c>
      <c r="S19" s="6"/>
      <c r="T19" s="127"/>
      <c r="U19" s="90"/>
      <c r="V19" s="90"/>
      <c r="W19" s="90"/>
      <c r="X19" s="6"/>
      <c r="Y19" s="6"/>
      <c r="Z19" s="6"/>
      <c r="AA19" s="6"/>
      <c r="AB19" s="6"/>
      <c r="AC19" s="117"/>
    </row>
    <row r="20" spans="17:29">
      <c r="Q20" s="120"/>
      <c r="R20" s="6"/>
      <c r="S20" s="6"/>
      <c r="T20" s="127"/>
      <c r="U20" s="6"/>
      <c r="V20" s="6"/>
      <c r="W20" s="6"/>
      <c r="X20" s="6"/>
      <c r="Y20" s="6"/>
      <c r="Z20" s="6"/>
      <c r="AA20" s="6"/>
      <c r="AB20" s="6"/>
      <c r="AC20" s="117"/>
    </row>
    <row r="21" spans="17:29">
      <c r="Q21" s="120"/>
      <c r="R21" s="115"/>
      <c r="S21" s="115"/>
      <c r="T21" s="125"/>
      <c r="U21" s="115" t="s">
        <v>174</v>
      </c>
      <c r="V21" s="115"/>
      <c r="W21" s="115"/>
      <c r="X21" s="115"/>
      <c r="Y21" s="115">
        <f>'Исходные данные'!$W$25</f>
        <v>0</v>
      </c>
      <c r="Z21" s="115"/>
      <c r="AA21" s="115"/>
      <c r="AB21" s="115"/>
      <c r="AC21" s="116"/>
    </row>
    <row r="22" spans="17:29" ht="15.75">
      <c r="Q22" s="120"/>
      <c r="R22" s="126" t="s">
        <v>169</v>
      </c>
      <c r="S22" s="126"/>
      <c r="T22" s="127"/>
      <c r="U22" s="6"/>
      <c r="V22" s="6"/>
      <c r="W22" s="6"/>
      <c r="X22" s="6"/>
      <c r="Y22" s="6"/>
      <c r="Z22" s="6"/>
      <c r="AA22" s="6"/>
      <c r="AB22" s="6"/>
      <c r="AC22" s="117"/>
    </row>
    <row r="23" spans="17:29">
      <c r="Q23" s="120"/>
      <c r="R23" s="6"/>
      <c r="S23" s="6"/>
      <c r="T23" s="127"/>
      <c r="U23" s="6"/>
      <c r="V23" s="6"/>
      <c r="W23" s="6"/>
      <c r="X23" s="6"/>
      <c r="Y23" s="6"/>
      <c r="Z23" s="6"/>
      <c r="AA23" s="6"/>
      <c r="AB23" s="6"/>
      <c r="AC23" s="117"/>
    </row>
    <row r="24" spans="17:29">
      <c r="Q24" s="120"/>
      <c r="R24" s="6" t="s">
        <v>170</v>
      </c>
      <c r="S24" s="6"/>
      <c r="T24" s="127"/>
      <c r="U24" s="6" t="s">
        <v>171</v>
      </c>
      <c r="V24" s="6"/>
      <c r="W24" s="6"/>
      <c r="X24" s="6"/>
      <c r="Y24" s="6"/>
      <c r="Z24" s="6"/>
      <c r="AA24" s="6"/>
      <c r="AB24" s="6"/>
      <c r="AC24" s="117"/>
    </row>
    <row r="25" spans="17:29">
      <c r="Q25" s="120"/>
      <c r="R25" s="6"/>
      <c r="S25" s="6"/>
      <c r="T25" s="127"/>
      <c r="U25" s="6"/>
      <c r="V25" s="6"/>
      <c r="W25" s="6"/>
      <c r="X25" s="6"/>
      <c r="Y25" s="6"/>
      <c r="Z25" s="6"/>
      <c r="AA25" s="6"/>
      <c r="AB25" s="6"/>
      <c r="AC25" s="117"/>
    </row>
    <row r="26" spans="17:29">
      <c r="Q26" s="120"/>
      <c r="R26" s="128" t="s">
        <v>168</v>
      </c>
      <c r="S26" s="90"/>
      <c r="T26" s="127"/>
      <c r="U26" s="6"/>
      <c r="V26" s="6"/>
      <c r="W26" s="6"/>
      <c r="X26" s="6"/>
      <c r="Y26" s="6"/>
      <c r="Z26" s="6"/>
      <c r="AA26" s="6"/>
      <c r="AB26" s="6"/>
      <c r="AC26" s="117"/>
    </row>
    <row r="27" spans="17:29">
      <c r="Q27" s="120"/>
      <c r="R27" s="6"/>
      <c r="S27" s="6"/>
      <c r="T27" s="127"/>
      <c r="U27" s="6"/>
      <c r="V27" s="6"/>
      <c r="W27" s="6"/>
      <c r="X27" s="6"/>
      <c r="Y27" s="6"/>
      <c r="Z27" s="6"/>
      <c r="AA27" s="6"/>
      <c r="AB27" s="6"/>
      <c r="AC27" s="117"/>
    </row>
    <row r="28" spans="17:29">
      <c r="Q28" s="118"/>
      <c r="R28" s="90"/>
      <c r="S28" s="90"/>
      <c r="T28" s="129"/>
      <c r="U28" s="90"/>
      <c r="V28" s="90"/>
      <c r="W28" s="90"/>
      <c r="X28" s="90"/>
      <c r="Y28" s="90"/>
      <c r="Z28" s="90"/>
      <c r="AA28" s="90"/>
      <c r="AB28" s="90"/>
      <c r="AC28" s="130"/>
    </row>
  </sheetData>
  <mergeCells count="38">
    <mergeCell ref="Q11:R11"/>
    <mergeCell ref="Q6:R6"/>
    <mergeCell ref="Q7:R7"/>
    <mergeCell ref="Q8:R8"/>
    <mergeCell ref="Q9:R9"/>
    <mergeCell ref="Q10:R10"/>
    <mergeCell ref="Q1:R1"/>
    <mergeCell ref="Q2:R2"/>
    <mergeCell ref="Q3:R3"/>
    <mergeCell ref="Q4:R4"/>
    <mergeCell ref="Q5:R5"/>
    <mergeCell ref="S1:T1"/>
    <mergeCell ref="V1:W1"/>
    <mergeCell ref="S2:T2"/>
    <mergeCell ref="S3:T3"/>
    <mergeCell ref="S4:T4"/>
    <mergeCell ref="X11:AB11"/>
    <mergeCell ref="A2:G2"/>
    <mergeCell ref="G5:H5"/>
    <mergeCell ref="C5:E5"/>
    <mergeCell ref="I5:M5"/>
    <mergeCell ref="S5:T5"/>
    <mergeCell ref="S11:T11"/>
    <mergeCell ref="S6:T6"/>
    <mergeCell ref="S7:T7"/>
    <mergeCell ref="S8:T8"/>
    <mergeCell ref="S9:T9"/>
    <mergeCell ref="S10:T10"/>
    <mergeCell ref="X6:AB6"/>
    <mergeCell ref="X7:AB7"/>
    <mergeCell ref="X8:AB8"/>
    <mergeCell ref="X9:AB9"/>
    <mergeCell ref="X10:AB10"/>
    <mergeCell ref="X1:AB1"/>
    <mergeCell ref="X2:AB2"/>
    <mergeCell ref="X3:AB3"/>
    <mergeCell ref="X4:AB4"/>
    <mergeCell ref="X5:AB5"/>
  </mergeCells>
  <pageMargins left="0.7" right="0.7" top="0.75" bottom="0.75" header="0.3" footer="0.3"/>
  <pageSetup paperSize="9" scale="37" fitToHeight="0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>
    <pageSetUpPr fitToPage="1"/>
  </sheetPr>
  <dimension ref="A1:M25"/>
  <sheetViews>
    <sheetView workbookViewId="0">
      <selection activeCell="M2" sqref="M2"/>
    </sheetView>
  </sheetViews>
  <sheetFormatPr defaultRowHeight="12.75"/>
  <cols>
    <col min="1" max="1" width="2.85546875" customWidth="1"/>
    <col min="2" max="2" width="20.85546875" customWidth="1"/>
    <col min="3" max="3" width="19.85546875" customWidth="1"/>
    <col min="4" max="4" width="1.42578125" style="123" customWidth="1"/>
    <col min="5" max="5" width="5.28515625" customWidth="1"/>
    <col min="6" max="6" width="7" customWidth="1"/>
    <col min="7" max="7" width="6.140625" customWidth="1"/>
    <col min="8" max="8" width="11.5703125" style="138" customWidth="1"/>
    <col min="9" max="9" width="5.140625" customWidth="1"/>
    <col min="10" max="10" width="7.140625" customWidth="1"/>
    <col min="11" max="11" width="11.140625" customWidth="1"/>
    <col min="13" max="13" width="6" customWidth="1"/>
  </cols>
  <sheetData>
    <row r="1" spans="1:13">
      <c r="A1" s="121"/>
      <c r="B1" s="115"/>
      <c r="C1" s="115"/>
      <c r="D1" s="125"/>
      <c r="E1" s="115"/>
      <c r="F1" s="115"/>
      <c r="G1" s="115"/>
      <c r="H1" s="135"/>
      <c r="I1" s="115"/>
      <c r="J1" s="115"/>
      <c r="K1" s="116"/>
      <c r="M1">
        <f>M8</f>
        <v>0</v>
      </c>
    </row>
    <row r="2" spans="1:13" ht="15.75">
      <c r="A2" s="312" t="s">
        <v>180</v>
      </c>
      <c r="B2" s="313"/>
      <c r="C2" s="313"/>
      <c r="D2" s="313"/>
      <c r="E2" s="313"/>
      <c r="F2" s="313"/>
      <c r="G2" s="313"/>
      <c r="H2" s="136"/>
      <c r="I2" s="6"/>
      <c r="J2" s="6"/>
      <c r="K2" s="117"/>
    </row>
    <row r="3" spans="1:13">
      <c r="A3" s="120"/>
      <c r="B3" s="6" t="s">
        <v>173</v>
      </c>
      <c r="C3" s="6"/>
      <c r="D3" s="127"/>
      <c r="E3" s="6"/>
      <c r="F3" s="6"/>
      <c r="G3" s="6">
        <f>'Исходные данные'!$W$25</f>
        <v>0</v>
      </c>
      <c r="H3" s="91"/>
      <c r="I3" s="6"/>
      <c r="J3" s="6"/>
      <c r="K3" s="117"/>
    </row>
    <row r="4" spans="1:13">
      <c r="A4" s="120"/>
      <c r="B4" s="6"/>
      <c r="C4" s="6"/>
      <c r="D4" s="127"/>
      <c r="E4" s="6"/>
      <c r="F4" s="6"/>
      <c r="G4" s="6"/>
      <c r="H4" s="91"/>
      <c r="I4" s="6"/>
      <c r="J4" s="6"/>
      <c r="K4" s="117"/>
    </row>
    <row r="5" spans="1:13">
      <c r="A5" s="120"/>
      <c r="B5" s="311" t="s">
        <v>156</v>
      </c>
      <c r="C5" s="311" t="s">
        <v>157</v>
      </c>
      <c r="D5" s="311"/>
      <c r="E5" s="311"/>
      <c r="F5" s="311" t="s">
        <v>125</v>
      </c>
      <c r="G5" s="311" t="s">
        <v>160</v>
      </c>
      <c r="H5" s="311"/>
      <c r="I5" s="224" t="s">
        <v>184</v>
      </c>
      <c r="J5" s="226"/>
      <c r="K5" s="314" t="s">
        <v>158</v>
      </c>
      <c r="L5" s="100"/>
      <c r="M5" s="100"/>
    </row>
    <row r="6" spans="1:13">
      <c r="A6" s="120"/>
      <c r="B6" s="311"/>
      <c r="C6" s="311"/>
      <c r="D6" s="311"/>
      <c r="E6" s="311"/>
      <c r="F6" s="311"/>
      <c r="G6" s="311"/>
      <c r="H6" s="311"/>
      <c r="I6" s="198" t="s">
        <v>185</v>
      </c>
      <c r="J6" s="198" t="s">
        <v>186</v>
      </c>
      <c r="K6" s="315"/>
      <c r="L6" s="197"/>
      <c r="M6" s="197"/>
    </row>
    <row r="7" spans="1:13">
      <c r="A7" s="120"/>
      <c r="B7" s="197"/>
      <c r="C7" s="197"/>
      <c r="D7" s="197"/>
      <c r="E7" s="197"/>
      <c r="F7" s="197"/>
      <c r="G7" s="197"/>
      <c r="H7" s="197"/>
      <c r="I7" s="6"/>
      <c r="J7" s="6"/>
      <c r="K7" s="200"/>
      <c r="L7" s="197"/>
      <c r="M7" s="197"/>
    </row>
    <row r="8" spans="1:13">
      <c r="A8" s="120"/>
      <c r="B8" s="6"/>
      <c r="C8" s="6"/>
      <c r="D8" s="127"/>
      <c r="E8" s="6"/>
      <c r="F8" s="6"/>
      <c r="G8" s="6"/>
      <c r="H8" s="91" t="s">
        <v>186</v>
      </c>
      <c r="I8" s="6"/>
      <c r="J8" s="133">
        <f>SUM(J6:J7)</f>
        <v>0</v>
      </c>
      <c r="K8" s="117"/>
      <c r="M8">
        <f>SUM(M6:M7)</f>
        <v>0</v>
      </c>
    </row>
    <row r="9" spans="1:13">
      <c r="A9" s="120"/>
      <c r="B9" s="6"/>
      <c r="C9" s="6"/>
      <c r="D9" s="127"/>
      <c r="E9" s="6"/>
      <c r="F9" s="6"/>
      <c r="G9" s="6"/>
      <c r="H9" s="91"/>
      <c r="I9" s="6"/>
      <c r="J9" s="6"/>
      <c r="K9" s="117"/>
    </row>
    <row r="10" spans="1:13">
      <c r="A10" s="120"/>
      <c r="B10" s="6" t="s">
        <v>165</v>
      </c>
      <c r="C10" s="6"/>
      <c r="D10" s="127"/>
      <c r="E10" s="90"/>
      <c r="F10" s="90"/>
      <c r="G10" s="90"/>
      <c r="H10" s="91"/>
      <c r="I10" s="6"/>
      <c r="J10" s="6"/>
      <c r="K10" s="117"/>
    </row>
    <row r="11" spans="1:13">
      <c r="A11" s="120"/>
      <c r="B11" s="6"/>
      <c r="C11" s="6"/>
      <c r="D11" s="127"/>
      <c r="E11" s="6"/>
      <c r="F11" s="6"/>
      <c r="G11" s="6"/>
      <c r="H11" s="91"/>
      <c r="I11" s="6"/>
      <c r="J11" s="6"/>
      <c r="K11" s="117"/>
    </row>
    <row r="12" spans="1:13">
      <c r="A12" s="120"/>
      <c r="B12" s="6" t="s">
        <v>167</v>
      </c>
      <c r="C12" s="6"/>
      <c r="D12" s="127"/>
      <c r="E12" s="90"/>
      <c r="F12" s="90"/>
      <c r="G12" s="90"/>
      <c r="H12" s="91"/>
      <c r="I12" s="6"/>
      <c r="J12" s="6"/>
      <c r="K12" s="117"/>
    </row>
    <row r="13" spans="1:13">
      <c r="A13" s="120"/>
      <c r="B13" s="6"/>
      <c r="C13" s="6"/>
      <c r="D13" s="127"/>
      <c r="E13" s="6"/>
      <c r="F13" s="6"/>
      <c r="G13" s="6"/>
      <c r="H13" s="91"/>
      <c r="I13" s="6"/>
      <c r="J13" s="6"/>
      <c r="K13" s="117"/>
    </row>
    <row r="14" spans="1:13">
      <c r="A14" s="120"/>
      <c r="B14" s="6" t="s">
        <v>168</v>
      </c>
      <c r="C14" s="6"/>
      <c r="D14" s="127"/>
      <c r="E14" s="90"/>
      <c r="F14" s="90"/>
      <c r="G14" s="90"/>
      <c r="H14" s="91"/>
      <c r="I14" s="6"/>
      <c r="J14" s="6"/>
      <c r="K14" s="117"/>
    </row>
    <row r="15" spans="1:13">
      <c r="A15" s="120"/>
      <c r="B15" s="6"/>
      <c r="C15" s="6"/>
      <c r="D15" s="127"/>
      <c r="E15" s="6"/>
      <c r="F15" s="6"/>
      <c r="G15" s="6"/>
      <c r="H15" s="91"/>
      <c r="I15" s="6"/>
      <c r="J15" s="6"/>
      <c r="K15" s="117"/>
    </row>
    <row r="16" spans="1:13">
      <c r="A16" s="120"/>
      <c r="B16" s="6" t="s">
        <v>182</v>
      </c>
      <c r="C16" s="6"/>
      <c r="D16" s="127"/>
      <c r="E16" s="6">
        <f>M8</f>
        <v>0</v>
      </c>
      <c r="F16" s="6" t="s">
        <v>183</v>
      </c>
      <c r="G16" s="6"/>
      <c r="H16" s="91"/>
      <c r="I16" s="6"/>
      <c r="J16" s="6"/>
      <c r="K16" s="117"/>
    </row>
    <row r="17" spans="1:11">
      <c r="A17" s="120"/>
      <c r="B17" s="6"/>
      <c r="C17" s="6"/>
      <c r="D17" s="127"/>
      <c r="E17" s="6"/>
      <c r="F17" s="6"/>
      <c r="G17" s="6"/>
      <c r="H17" s="91"/>
      <c r="I17" s="6"/>
      <c r="J17" s="6"/>
      <c r="K17" s="117"/>
    </row>
    <row r="18" spans="1:11">
      <c r="A18" s="120"/>
      <c r="B18" s="115"/>
      <c r="C18" s="115"/>
      <c r="D18" s="125"/>
      <c r="E18" s="115" t="s">
        <v>174</v>
      </c>
      <c r="F18" s="115"/>
      <c r="G18" s="115"/>
      <c r="H18" s="135">
        <f>'Исходные данные'!$W$25</f>
        <v>0</v>
      </c>
      <c r="I18" s="6"/>
      <c r="J18" s="6"/>
      <c r="K18" s="117"/>
    </row>
    <row r="19" spans="1:11" ht="15.75">
      <c r="A19" s="120"/>
      <c r="B19" s="126" t="s">
        <v>169</v>
      </c>
      <c r="C19" s="126"/>
      <c r="D19" s="127"/>
      <c r="E19" s="6"/>
      <c r="F19" s="6"/>
      <c r="G19" s="6"/>
      <c r="H19" s="91"/>
      <c r="I19" s="6"/>
      <c r="J19" s="6"/>
      <c r="K19" s="117"/>
    </row>
    <row r="20" spans="1:11">
      <c r="A20" s="120"/>
      <c r="B20" s="6"/>
      <c r="C20" s="6"/>
      <c r="D20" s="127"/>
      <c r="E20" s="6"/>
      <c r="F20" s="6"/>
      <c r="G20" s="6"/>
      <c r="H20" s="91"/>
      <c r="I20" s="6"/>
      <c r="J20" s="6"/>
      <c r="K20" s="117"/>
    </row>
    <row r="21" spans="1:11">
      <c r="A21" s="120"/>
      <c r="B21" s="6" t="s">
        <v>170</v>
      </c>
      <c r="C21" s="6"/>
      <c r="D21" s="127"/>
      <c r="E21" s="6" t="s">
        <v>181</v>
      </c>
      <c r="F21" s="6"/>
      <c r="G21" s="6"/>
      <c r="H21" s="91"/>
      <c r="I21" s="6"/>
      <c r="J21" s="6"/>
      <c r="K21" s="117"/>
    </row>
    <row r="22" spans="1:11">
      <c r="A22" s="120"/>
      <c r="B22" s="6"/>
      <c r="C22" s="6"/>
      <c r="D22" s="127"/>
      <c r="E22" s="6"/>
      <c r="F22" s="6"/>
      <c r="G22" s="6"/>
      <c r="H22" s="91"/>
      <c r="I22" s="6"/>
      <c r="J22" s="6"/>
      <c r="K22" s="117"/>
    </row>
    <row r="23" spans="1:11">
      <c r="A23" s="120"/>
      <c r="B23" s="128" t="s">
        <v>168</v>
      </c>
      <c r="C23" s="90"/>
      <c r="D23" s="127"/>
      <c r="E23" s="6"/>
      <c r="F23" s="6"/>
      <c r="G23" s="6"/>
      <c r="H23" s="91"/>
      <c r="I23" s="6"/>
      <c r="J23" s="6"/>
      <c r="K23" s="117"/>
    </row>
    <row r="24" spans="1:11">
      <c r="A24" s="120"/>
      <c r="B24" s="6"/>
      <c r="C24" s="6"/>
      <c r="D24" s="127"/>
      <c r="E24" s="6"/>
      <c r="F24" s="6"/>
      <c r="G24" s="6"/>
      <c r="H24" s="91"/>
      <c r="I24" s="6"/>
      <c r="J24" s="6"/>
      <c r="K24" s="117"/>
    </row>
    <row r="25" spans="1:11">
      <c r="A25" s="118"/>
      <c r="B25" s="90"/>
      <c r="C25" s="90"/>
      <c r="D25" s="129"/>
      <c r="E25" s="90"/>
      <c r="F25" s="90"/>
      <c r="G25" s="90"/>
      <c r="H25" s="137"/>
      <c r="I25" s="90"/>
      <c r="J25" s="90"/>
      <c r="K25" s="130"/>
    </row>
  </sheetData>
  <mergeCells count="7">
    <mergeCell ref="K5:K6"/>
    <mergeCell ref="A2:G2"/>
    <mergeCell ref="B5:B6"/>
    <mergeCell ref="C5:E6"/>
    <mergeCell ref="F5:F6"/>
    <mergeCell ref="G5:H6"/>
    <mergeCell ref="I5:J5"/>
  </mergeCells>
  <pageMargins left="0.74803149606299213" right="0.74803149606299213" top="0.98425196850393704" bottom="0.98425196850393704" header="0.51181102362204722" footer="0.51181102362204722"/>
  <pageSetup paperSize="9" scale="81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Программист_t</vt:lpstr>
      <vt:lpstr>Лист1 (2)</vt:lpstr>
      <vt:lpstr>Исходные данные</vt:lpstr>
      <vt:lpstr>Сопр_лист_t</vt:lpstr>
      <vt:lpstr>Компл_t</vt:lpstr>
      <vt:lpstr>Труматик_t</vt:lpstr>
      <vt:lpstr>Задание на гибку_t</vt:lpstr>
      <vt:lpstr>a</vt:lpstr>
      <vt:lpstr>'Задание на гибку_t'!Область_печати</vt:lpstr>
      <vt:lpstr>'Исходные данные'!Область_печати</vt:lpstr>
    </vt:vector>
  </TitlesOfParts>
  <Company>Веза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</dc:creator>
  <cp:lastModifiedBy>kondratenkosa</cp:lastModifiedBy>
  <cp:lastPrinted>2014-03-12T01:46:48Z</cp:lastPrinted>
  <dcterms:created xsi:type="dcterms:W3CDTF">2008-02-20T06:02:39Z</dcterms:created>
  <dcterms:modified xsi:type="dcterms:W3CDTF">2014-03-12T01:59:48Z</dcterms:modified>
</cp:coreProperties>
</file>